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man\Desktop\scraper\test\"/>
    </mc:Choice>
  </mc:AlternateContent>
  <xr:revisionPtr revIDLastSave="0" documentId="13_ncr:1_{517FC472-917B-476E-8A9D-04C083B7FDE0}" xr6:coauthVersionLast="37" xr6:coauthVersionMax="37" xr10:uidLastSave="{00000000-0000-0000-0000-000000000000}"/>
  <bookViews>
    <workbookView xWindow="0" yWindow="0" windowWidth="20490" windowHeight="7755" tabRatio="850" activeTab="1" xr2:uid="{00000000-000D-0000-FFFF-FFFF00000000}"/>
  </bookViews>
  <sheets>
    <sheet name="CALCULATOR" sheetId="1" r:id="rId1"/>
    <sheet name="Sheet1" sheetId="50" r:id="rId2"/>
    <sheet name="3" sheetId="24" state="hidden" r:id="rId3"/>
    <sheet name="1" sheetId="16" state="hidden" r:id="rId4"/>
    <sheet name="2" sheetId="40" state="hidden" r:id="rId5"/>
    <sheet name="09,06,2021" sheetId="45" state="hidden" r:id="rId6"/>
    <sheet name="копия из soccerstand " sheetId="46" r:id="rId7"/>
    <sheet name="список" sheetId="47" r:id="rId8"/>
    <sheet name="Выбор" sheetId="48" r:id="rId9"/>
    <sheet name="100-120 րոպեն մեկ" sheetId="49" r:id="rId10"/>
  </sheets>
  <definedNames>
    <definedName name="_xlnm._FilterDatabase" localSheetId="5" hidden="1">'09,06,2021'!$G$4:$O$1002</definedName>
    <definedName name="_xlnm._FilterDatabase" localSheetId="4" hidden="1">'2'!$B$2:$J$193</definedName>
    <definedName name="_xlnm._FilterDatabase" localSheetId="2" hidden="1">'3'!$B$2:$N$208</definedName>
  </definedNames>
  <calcPr calcId="162913"/>
</workbook>
</file>

<file path=xl/calcChain.xml><?xml version="1.0" encoding="utf-8"?>
<calcChain xmlns="http://schemas.openxmlformats.org/spreadsheetml/2006/main">
  <c r="J4" i="1" l="1"/>
  <c r="J4" i="46"/>
  <c r="I4" i="46"/>
  <c r="H4" i="46"/>
  <c r="G4" i="46"/>
  <c r="F4" i="46"/>
  <c r="E4" i="46"/>
  <c r="J3" i="46"/>
  <c r="I3" i="46"/>
  <c r="H3" i="46"/>
  <c r="G3" i="46"/>
  <c r="F3" i="46"/>
  <c r="E3" i="46"/>
  <c r="J2" i="46"/>
  <c r="I2" i="46"/>
  <c r="H2" i="46"/>
  <c r="G2" i="46"/>
  <c r="F2" i="46"/>
  <c r="E2" i="46"/>
  <c r="D2" i="46"/>
  <c r="J1" i="46"/>
  <c r="I1" i="46"/>
  <c r="H1" i="46"/>
  <c r="E1" i="46"/>
  <c r="G1" i="46"/>
  <c r="F1" i="46"/>
  <c r="D1" i="46"/>
  <c r="M6" i="1"/>
  <c r="P7" i="1" l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Q31" i="1" s="1"/>
  <c r="P6" i="1"/>
  <c r="Q6" i="1" s="1"/>
  <c r="E4" i="1" l="1"/>
  <c r="E1" i="1" s="1"/>
  <c r="D4" i="1" l="1"/>
  <c r="J17" i="1" l="1"/>
  <c r="R6" i="1"/>
  <c r="R7" i="1" l="1"/>
  <c r="R8" i="1"/>
  <c r="R9" i="1"/>
  <c r="R10" i="1"/>
  <c r="R11" i="1"/>
  <c r="R12" i="1"/>
  <c r="R13" i="1"/>
  <c r="R14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16" i="1"/>
  <c r="R17" i="1"/>
  <c r="R18" i="1"/>
  <c r="R19" i="1"/>
  <c r="R15" i="1"/>
  <c r="H55" i="1" l="1"/>
  <c r="K19" i="1" l="1"/>
  <c r="O6" i="1" l="1"/>
  <c r="O5" i="1" l="1"/>
  <c r="C4" i="1" l="1"/>
  <c r="K17" i="1" l="1"/>
  <c r="K18" i="1" s="1"/>
  <c r="G55" i="1" l="1"/>
  <c r="N5" i="1" l="1"/>
  <c r="M9" i="1" l="1"/>
  <c r="G5" i="1" l="1"/>
  <c r="L8" i="1" l="1"/>
  <c r="L6" i="1"/>
  <c r="L14" i="1"/>
  <c r="L9" i="1"/>
  <c r="A10" i="1" l="1"/>
  <c r="A11" i="1" s="1"/>
  <c r="A12" i="1" l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M7" i="1" l="1"/>
  <c r="K62" i="45" l="1"/>
  <c r="M24" i="1" l="1"/>
  <c r="M25" i="1"/>
  <c r="M26" i="1"/>
  <c r="K209" i="45" l="1"/>
  <c r="K219" i="45" l="1"/>
  <c r="K240" i="45"/>
  <c r="K242" i="45"/>
  <c r="K239" i="45"/>
  <c r="K238" i="45"/>
  <c r="K223" i="45"/>
  <c r="K221" i="45"/>
  <c r="K218" i="45"/>
  <c r="K206" i="45"/>
  <c r="K204" i="45"/>
  <c r="K196" i="45"/>
  <c r="K194" i="45"/>
  <c r="K192" i="45"/>
  <c r="K181" i="45"/>
  <c r="K180" i="45"/>
  <c r="K175" i="45"/>
  <c r="K183" i="45"/>
  <c r="K179" i="45"/>
  <c r="K174" i="45"/>
  <c r="K170" i="45"/>
  <c r="K169" i="45"/>
  <c r="K168" i="45"/>
  <c r="K161" i="45"/>
  <c r="K160" i="45"/>
  <c r="K159" i="45"/>
  <c r="K157" i="45"/>
  <c r="K156" i="45"/>
  <c r="K155" i="45"/>
  <c r="K153" i="45"/>
  <c r="K150" i="45"/>
  <c r="K144" i="45"/>
  <c r="K137" i="45"/>
  <c r="K136" i="45"/>
  <c r="K134" i="45"/>
  <c r="K131" i="45"/>
  <c r="K130" i="45"/>
  <c r="K128" i="45"/>
  <c r="K124" i="45"/>
  <c r="K123" i="45"/>
  <c r="K122" i="45"/>
  <c r="K121" i="45"/>
  <c r="K116" i="45"/>
  <c r="K111" i="45"/>
  <c r="K106" i="45"/>
  <c r="K103" i="45"/>
  <c r="K97" i="45"/>
  <c r="K96" i="45"/>
  <c r="K93" i="45"/>
  <c r="K92" i="45"/>
  <c r="K79" i="45"/>
  <c r="K78" i="45"/>
  <c r="K76" i="45"/>
  <c r="K74" i="45"/>
  <c r="K71" i="45"/>
  <c r="K63" i="45"/>
  <c r="K59" i="45"/>
  <c r="K55" i="45"/>
  <c r="K51" i="45"/>
  <c r="K50" i="45"/>
  <c r="K48" i="45"/>
  <c r="K44" i="45"/>
  <c r="K27" i="45"/>
  <c r="K23" i="45"/>
  <c r="K22" i="45"/>
  <c r="K19" i="45"/>
  <c r="K14" i="45"/>
  <c r="K13" i="45"/>
  <c r="K8" i="45"/>
  <c r="H6" i="45"/>
  <c r="H7" i="45" s="1"/>
  <c r="H8" i="45" s="1"/>
  <c r="H9" i="45" s="1"/>
  <c r="H10" i="45" s="1"/>
  <c r="H11" i="45" s="1"/>
  <c r="H12" i="45" s="1"/>
  <c r="H13" i="45" s="1"/>
  <c r="H14" i="45" s="1"/>
  <c r="H15" i="45" s="1"/>
  <c r="H16" i="45" s="1"/>
  <c r="H17" i="45" s="1"/>
  <c r="H18" i="45" s="1"/>
  <c r="H19" i="45" s="1"/>
  <c r="H20" i="45" s="1"/>
  <c r="H21" i="45" s="1"/>
  <c r="H22" i="45" s="1"/>
  <c r="H23" i="45" s="1"/>
  <c r="H24" i="45" s="1"/>
  <c r="H25" i="45" s="1"/>
  <c r="H26" i="45" s="1"/>
  <c r="H27" i="45" s="1"/>
  <c r="H28" i="45" s="1"/>
  <c r="H29" i="45" s="1"/>
  <c r="H30" i="45" s="1"/>
  <c r="H31" i="45" s="1"/>
  <c r="H32" i="45" s="1"/>
  <c r="H33" i="45" s="1"/>
  <c r="H34" i="45" s="1"/>
  <c r="H35" i="45" s="1"/>
  <c r="H36" i="45" s="1"/>
  <c r="H37" i="45" s="1"/>
  <c r="H38" i="45" s="1"/>
  <c r="H39" i="45" s="1"/>
  <c r="H40" i="45" s="1"/>
  <c r="H41" i="45" s="1"/>
  <c r="H42" i="45" s="1"/>
  <c r="H43" i="45" s="1"/>
  <c r="H44" i="45" s="1"/>
  <c r="H45" i="45" s="1"/>
  <c r="H46" i="45" s="1"/>
  <c r="H47" i="45" s="1"/>
  <c r="H48" i="45" s="1"/>
  <c r="H49" i="45" s="1"/>
  <c r="H50" i="45" s="1"/>
  <c r="H51" i="45" s="1"/>
  <c r="H52" i="45" s="1"/>
  <c r="H53" i="45" s="1"/>
  <c r="H54" i="45" s="1"/>
  <c r="H55" i="45" s="1"/>
  <c r="H56" i="45" s="1"/>
  <c r="H57" i="45" s="1"/>
  <c r="H58" i="45" s="1"/>
  <c r="H59" i="45" s="1"/>
  <c r="H60" i="45" s="1"/>
  <c r="H61" i="45" s="1"/>
  <c r="H62" i="45" s="1"/>
  <c r="H63" i="45" s="1"/>
  <c r="H64" i="45" s="1"/>
  <c r="H65" i="45" s="1"/>
  <c r="H66" i="45" s="1"/>
  <c r="H67" i="45" s="1"/>
  <c r="H68" i="45" s="1"/>
  <c r="H69" i="45" s="1"/>
  <c r="H70" i="45" s="1"/>
  <c r="H71" i="45" s="1"/>
  <c r="H72" i="45" s="1"/>
  <c r="H73" i="45" s="1"/>
  <c r="H74" i="45" s="1"/>
  <c r="H75" i="45" s="1"/>
  <c r="H76" i="45" s="1"/>
  <c r="H77" i="45" s="1"/>
  <c r="H78" i="45" s="1"/>
  <c r="H79" i="45" s="1"/>
  <c r="H80" i="45" s="1"/>
  <c r="H81" i="45" s="1"/>
  <c r="H82" i="45" s="1"/>
  <c r="H83" i="45" s="1"/>
  <c r="H84" i="45" s="1"/>
  <c r="H85" i="45" s="1"/>
  <c r="H86" i="45" s="1"/>
  <c r="H87" i="45" s="1"/>
  <c r="H88" i="45" s="1"/>
  <c r="H89" i="45" s="1"/>
  <c r="H90" i="45" s="1"/>
  <c r="H91" i="45" s="1"/>
  <c r="H92" i="45" s="1"/>
  <c r="H93" i="45" s="1"/>
  <c r="H94" i="45" s="1"/>
  <c r="H95" i="45" s="1"/>
  <c r="H96" i="45" s="1"/>
  <c r="H97" i="45" s="1"/>
  <c r="H98" i="45" s="1"/>
  <c r="H99" i="45" s="1"/>
  <c r="H100" i="45" s="1"/>
  <c r="H101" i="45" s="1"/>
  <c r="H102" i="45" s="1"/>
  <c r="H103" i="45" s="1"/>
  <c r="H104" i="45" s="1"/>
  <c r="H105" i="45" s="1"/>
  <c r="H106" i="45" s="1"/>
  <c r="H107" i="45" s="1"/>
  <c r="H108" i="45" s="1"/>
  <c r="H109" i="45" s="1"/>
  <c r="H110" i="45" s="1"/>
  <c r="H111" i="45" s="1"/>
  <c r="H112" i="45" s="1"/>
  <c r="H113" i="45" s="1"/>
  <c r="H114" i="45" s="1"/>
  <c r="H115" i="45" s="1"/>
  <c r="H116" i="45" s="1"/>
  <c r="H117" i="45" s="1"/>
  <c r="H118" i="45" s="1"/>
  <c r="H119" i="45" s="1"/>
  <c r="H120" i="45" s="1"/>
  <c r="H121" i="45" s="1"/>
  <c r="H122" i="45" s="1"/>
  <c r="H123" i="45" s="1"/>
  <c r="H124" i="45" s="1"/>
  <c r="H125" i="45" s="1"/>
  <c r="H126" i="45" s="1"/>
  <c r="H127" i="45" s="1"/>
  <c r="H128" i="45" s="1"/>
  <c r="H129" i="45" s="1"/>
  <c r="H130" i="45" s="1"/>
  <c r="H131" i="45" s="1"/>
  <c r="H132" i="45" s="1"/>
  <c r="H133" i="45" s="1"/>
  <c r="H134" i="45" s="1"/>
  <c r="H135" i="45" s="1"/>
  <c r="H136" i="45" s="1"/>
  <c r="H137" i="45" s="1"/>
  <c r="H138" i="45" s="1"/>
  <c r="H139" i="45" s="1"/>
  <c r="H140" i="45" s="1"/>
  <c r="H141" i="45" s="1"/>
  <c r="H142" i="45" s="1"/>
  <c r="H143" i="45" s="1"/>
  <c r="H144" i="45" s="1"/>
  <c r="H145" i="45" s="1"/>
  <c r="H146" i="45" s="1"/>
  <c r="H147" i="45" s="1"/>
  <c r="H148" i="45" s="1"/>
  <c r="H149" i="45" s="1"/>
  <c r="H150" i="45" s="1"/>
  <c r="H151" i="45" s="1"/>
  <c r="H152" i="45" s="1"/>
  <c r="H153" i="45" s="1"/>
  <c r="H154" i="45" s="1"/>
  <c r="H155" i="45" s="1"/>
  <c r="H156" i="45" s="1"/>
  <c r="H157" i="45" s="1"/>
  <c r="H158" i="45" s="1"/>
  <c r="H159" i="45" s="1"/>
  <c r="H160" i="45" s="1"/>
  <c r="H161" i="45" s="1"/>
  <c r="H162" i="45" s="1"/>
  <c r="H163" i="45" s="1"/>
  <c r="H164" i="45" s="1"/>
  <c r="H165" i="45" s="1"/>
  <c r="H166" i="45" s="1"/>
  <c r="H167" i="45" s="1"/>
  <c r="H168" i="45" s="1"/>
  <c r="H169" i="45" s="1"/>
  <c r="H170" i="45" s="1"/>
  <c r="H171" i="45" s="1"/>
  <c r="H172" i="45" s="1"/>
  <c r="H173" i="45" s="1"/>
  <c r="H174" i="45" s="1"/>
  <c r="H175" i="45" s="1"/>
  <c r="H176" i="45" s="1"/>
  <c r="H177" i="45" s="1"/>
  <c r="H178" i="45" s="1"/>
  <c r="H179" i="45" s="1"/>
  <c r="H180" i="45" s="1"/>
  <c r="H181" i="45" s="1"/>
  <c r="H182" i="45" s="1"/>
  <c r="H183" i="45" s="1"/>
  <c r="H184" i="45" s="1"/>
  <c r="H185" i="45" s="1"/>
  <c r="H186" i="45" s="1"/>
  <c r="H187" i="45" s="1"/>
  <c r="H188" i="45" s="1"/>
  <c r="H189" i="45" s="1"/>
  <c r="H190" i="45" s="1"/>
  <c r="H191" i="45" s="1"/>
  <c r="H192" i="45" s="1"/>
  <c r="H193" i="45" s="1"/>
  <c r="H194" i="45" s="1"/>
  <c r="H195" i="45" s="1"/>
  <c r="H196" i="45" s="1"/>
  <c r="H197" i="45" s="1"/>
  <c r="H198" i="45" s="1"/>
  <c r="H199" i="45" s="1"/>
  <c r="H200" i="45" s="1"/>
  <c r="H201" i="45" s="1"/>
  <c r="H202" i="45" s="1"/>
  <c r="H203" i="45" s="1"/>
  <c r="H204" i="45" s="1"/>
  <c r="H205" i="45" s="1"/>
  <c r="H206" i="45" s="1"/>
  <c r="H207" i="45" s="1"/>
  <c r="H208" i="45" s="1"/>
  <c r="H209" i="45" s="1"/>
  <c r="H210" i="45" s="1"/>
  <c r="H211" i="45" s="1"/>
  <c r="H212" i="45" s="1"/>
  <c r="H213" i="45" s="1"/>
  <c r="H214" i="45" s="1"/>
  <c r="H215" i="45" s="1"/>
  <c r="H216" i="45" s="1"/>
  <c r="H217" i="45" s="1"/>
  <c r="H218" i="45" s="1"/>
  <c r="H219" i="45" s="1"/>
  <c r="H220" i="45" s="1"/>
  <c r="H221" i="45" s="1"/>
  <c r="H222" i="45" s="1"/>
  <c r="H223" i="45" s="1"/>
  <c r="H224" i="45" s="1"/>
  <c r="H225" i="45" s="1"/>
  <c r="H226" i="45" s="1"/>
  <c r="H227" i="45" s="1"/>
  <c r="H228" i="45" s="1"/>
  <c r="H229" i="45" s="1"/>
  <c r="H230" i="45" s="1"/>
  <c r="H231" i="45" s="1"/>
  <c r="H232" i="45" s="1"/>
  <c r="H233" i="45" s="1"/>
  <c r="H234" i="45" s="1"/>
  <c r="H235" i="45" s="1"/>
  <c r="H236" i="45" s="1"/>
  <c r="H237" i="45" s="1"/>
  <c r="H238" i="45" s="1"/>
  <c r="H239" i="45" s="1"/>
  <c r="H240" i="45" s="1"/>
  <c r="H241" i="45" s="1"/>
  <c r="H242" i="45" s="1"/>
  <c r="H243" i="45" s="1"/>
  <c r="H244" i="45" s="1"/>
  <c r="N3" i="45"/>
  <c r="L3" i="45"/>
  <c r="J3" i="45"/>
  <c r="I3" i="45"/>
  <c r="G3" i="45"/>
  <c r="R1" i="45"/>
  <c r="R2" i="45" s="1"/>
  <c r="K3" i="45" l="1"/>
  <c r="M3" i="45"/>
  <c r="M8" i="1" l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L208" i="24" l="1"/>
  <c r="L205" i="24"/>
  <c r="L204" i="24"/>
  <c r="L203" i="24"/>
  <c r="L202" i="24"/>
  <c r="L196" i="24"/>
  <c r="L192" i="24"/>
  <c r="L191" i="24"/>
  <c r="L190" i="24"/>
  <c r="L189" i="24"/>
  <c r="L188" i="24"/>
  <c r="L187" i="24"/>
  <c r="L186" i="24"/>
  <c r="L185" i="24"/>
  <c r="L184" i="24"/>
  <c r="L181" i="24"/>
  <c r="L178" i="24"/>
  <c r="L177" i="24"/>
  <c r="L174" i="24"/>
  <c r="L171" i="24"/>
  <c r="L170" i="24"/>
  <c r="L169" i="24"/>
  <c r="L166" i="24"/>
  <c r="L165" i="24"/>
  <c r="L160" i="24"/>
  <c r="L156" i="24"/>
  <c r="L151" i="24"/>
  <c r="L149" i="24"/>
  <c r="L147" i="24"/>
  <c r="L145" i="24"/>
  <c r="L140" i="24"/>
  <c r="L139" i="24"/>
  <c r="L138" i="24"/>
  <c r="L137" i="24"/>
  <c r="L136" i="24"/>
  <c r="L135" i="24"/>
  <c r="L134" i="24"/>
  <c r="L131" i="24"/>
  <c r="L128" i="24"/>
  <c r="L125" i="24"/>
  <c r="L124" i="24"/>
  <c r="L121" i="24"/>
  <c r="L118" i="24"/>
  <c r="L115" i="24"/>
  <c r="L114" i="24"/>
  <c r="L113" i="24"/>
  <c r="L112" i="24"/>
  <c r="L111" i="24"/>
  <c r="L110" i="24"/>
  <c r="L109" i="24"/>
  <c r="L108" i="24"/>
  <c r="L107" i="24"/>
  <c r="L106" i="24"/>
  <c r="L101" i="24"/>
  <c r="L100" i="24"/>
  <c r="L99" i="24"/>
  <c r="L95" i="24"/>
  <c r="L94" i="24"/>
  <c r="L93" i="24"/>
  <c r="L92" i="24"/>
  <c r="L90" i="24"/>
  <c r="L86" i="24"/>
  <c r="L84" i="24"/>
  <c r="L80" i="24"/>
  <c r="L79" i="24"/>
  <c r="L72" i="24"/>
  <c r="L71" i="24"/>
  <c r="L68" i="24"/>
  <c r="L67" i="24"/>
  <c r="L66" i="24"/>
  <c r="L63" i="24"/>
  <c r="L62" i="24"/>
  <c r="L59" i="24"/>
  <c r="L56" i="24"/>
  <c r="L55" i="24"/>
  <c r="L54" i="24"/>
  <c r="L52" i="24"/>
  <c r="L48" i="24"/>
  <c r="L47" i="24"/>
  <c r="L46" i="24"/>
  <c r="L45" i="24"/>
  <c r="L44" i="24"/>
  <c r="L42" i="24"/>
  <c r="L38" i="24"/>
  <c r="L37" i="24"/>
  <c r="L36" i="24"/>
  <c r="L35" i="24"/>
  <c r="L32" i="24"/>
  <c r="L31" i="24"/>
  <c r="L30" i="24"/>
  <c r="L29" i="24"/>
  <c r="L28" i="24"/>
  <c r="L25" i="24"/>
  <c r="L24" i="24"/>
  <c r="L21" i="24"/>
  <c r="L19" i="24"/>
  <c r="L17" i="24"/>
  <c r="L15" i="24"/>
  <c r="L5" i="24"/>
  <c r="L6" i="24"/>
  <c r="L7" i="24"/>
  <c r="L8" i="24"/>
  <c r="L9" i="24"/>
  <c r="L10" i="24"/>
  <c r="L11" i="24"/>
  <c r="L12" i="24"/>
  <c r="L4" i="24"/>
  <c r="G204" i="24"/>
  <c r="G203" i="24"/>
  <c r="G202" i="24"/>
  <c r="G191" i="24"/>
  <c r="G190" i="24"/>
  <c r="G189" i="24"/>
  <c r="G188" i="24"/>
  <c r="G187" i="24"/>
  <c r="G186" i="24"/>
  <c r="G185" i="24"/>
  <c r="G184" i="24"/>
  <c r="G177" i="24"/>
  <c r="G170" i="24"/>
  <c r="G169" i="24"/>
  <c r="G165" i="24"/>
  <c r="G139" i="24"/>
  <c r="G138" i="24"/>
  <c r="G137" i="24"/>
  <c r="G136" i="24"/>
  <c r="G135" i="24"/>
  <c r="G134" i="24"/>
  <c r="H140" i="24"/>
  <c r="H131" i="24"/>
  <c r="H128" i="24"/>
  <c r="H125" i="24"/>
  <c r="G124" i="24"/>
  <c r="H118" i="24"/>
  <c r="G106" i="24"/>
  <c r="G107" i="24"/>
  <c r="G108" i="24"/>
  <c r="G109" i="24"/>
  <c r="G110" i="24"/>
  <c r="G111" i="24"/>
  <c r="G112" i="24"/>
  <c r="G113" i="24"/>
  <c r="H115" i="24"/>
  <c r="G114" i="24"/>
  <c r="G99" i="24"/>
  <c r="H101" i="24"/>
  <c r="G100" i="24"/>
  <c r="G92" i="24"/>
  <c r="G93" i="24"/>
  <c r="H95" i="24"/>
  <c r="G94" i="24"/>
  <c r="L1" i="24"/>
  <c r="H80" i="24"/>
  <c r="G79" i="24"/>
  <c r="G66" i="24"/>
  <c r="H72" i="24"/>
  <c r="G71" i="24"/>
  <c r="H68" i="24"/>
  <c r="G67" i="24"/>
  <c r="H63" i="24"/>
  <c r="G62" i="24"/>
  <c r="H59" i="24"/>
  <c r="H56" i="24"/>
  <c r="G55" i="24"/>
  <c r="G54" i="24"/>
  <c r="H48" i="24"/>
  <c r="G47" i="24"/>
  <c r="G46" i="24"/>
  <c r="G45" i="24"/>
  <c r="G44" i="24"/>
  <c r="H38" i="24"/>
  <c r="G37" i="24"/>
  <c r="G36" i="24"/>
  <c r="G35" i="24"/>
  <c r="H32" i="24"/>
  <c r="G31" i="24"/>
  <c r="G29" i="24"/>
  <c r="G30" i="24"/>
  <c r="G28" i="24"/>
  <c r="H25" i="24"/>
  <c r="G24" i="24"/>
  <c r="H12" i="24"/>
  <c r="G5" i="24"/>
  <c r="G6" i="24"/>
  <c r="G7" i="24"/>
  <c r="G8" i="24"/>
  <c r="G9" i="24"/>
  <c r="G10" i="24"/>
  <c r="G11" i="24"/>
  <c r="G4" i="24"/>
  <c r="M12" i="24" l="1"/>
  <c r="M204" i="24"/>
  <c r="M185" i="24"/>
  <c r="M189" i="24"/>
  <c r="M181" i="24"/>
  <c r="M169" i="24"/>
  <c r="M166" i="24"/>
  <c r="M149" i="24"/>
  <c r="M135" i="24"/>
  <c r="M139" i="24"/>
  <c r="M124" i="24"/>
  <c r="M106" i="24"/>
  <c r="M110" i="24"/>
  <c r="M114" i="24"/>
  <c r="M101" i="24"/>
  <c r="M95" i="24"/>
  <c r="M79" i="24"/>
  <c r="M66" i="24"/>
  <c r="M63" i="24"/>
  <c r="M56" i="24"/>
  <c r="M46" i="24"/>
  <c r="M35" i="24"/>
  <c r="M28" i="24"/>
  <c r="M32" i="24"/>
  <c r="M19" i="24"/>
  <c r="M5" i="24"/>
  <c r="M9" i="24"/>
  <c r="M208" i="24"/>
  <c r="M205" i="24"/>
  <c r="M186" i="24"/>
  <c r="M190" i="24"/>
  <c r="M177" i="24"/>
  <c r="M170" i="24"/>
  <c r="M160" i="24"/>
  <c r="M147" i="24"/>
  <c r="M136" i="24"/>
  <c r="M140" i="24"/>
  <c r="M125" i="24"/>
  <c r="M107" i="24"/>
  <c r="M111" i="24"/>
  <c r="M115" i="24"/>
  <c r="M92" i="24"/>
  <c r="M90" i="24"/>
  <c r="M80" i="24"/>
  <c r="M67" i="24"/>
  <c r="M59" i="24"/>
  <c r="M52" i="24"/>
  <c r="M47" i="24"/>
  <c r="M36" i="24"/>
  <c r="M29" i="24"/>
  <c r="M24" i="24"/>
  <c r="M17" i="24"/>
  <c r="M6" i="24"/>
  <c r="M10" i="24"/>
  <c r="M202" i="24"/>
  <c r="M196" i="24"/>
  <c r="M187" i="24"/>
  <c r="M191" i="24"/>
  <c r="M178" i="24"/>
  <c r="M171" i="24"/>
  <c r="M156" i="24"/>
  <c r="M145" i="24"/>
  <c r="M137" i="24"/>
  <c r="M131" i="24"/>
  <c r="M121" i="24"/>
  <c r="M108" i="24"/>
  <c r="M112" i="24"/>
  <c r="M99" i="24"/>
  <c r="M93" i="24"/>
  <c r="M86" i="24"/>
  <c r="M71" i="24"/>
  <c r="M68" i="24"/>
  <c r="M54" i="24"/>
  <c r="M44" i="24"/>
  <c r="M48" i="24"/>
  <c r="M37" i="24"/>
  <c r="M30" i="24"/>
  <c r="M25" i="24"/>
  <c r="M15" i="24"/>
  <c r="M7" i="24"/>
  <c r="M11" i="24"/>
  <c r="M203" i="24"/>
  <c r="M184" i="24"/>
  <c r="M188" i="24"/>
  <c r="M192" i="24"/>
  <c r="M174" i="24"/>
  <c r="M165" i="24"/>
  <c r="M151" i="24"/>
  <c r="M134" i="24"/>
  <c r="M138" i="24"/>
  <c r="M128" i="24"/>
  <c r="M118" i="24"/>
  <c r="M109" i="24"/>
  <c r="M113" i="24"/>
  <c r="M100" i="24"/>
  <c r="M94" i="24"/>
  <c r="M84" i="24"/>
  <c r="M72" i="24"/>
  <c r="M62" i="24"/>
  <c r="M55" i="24"/>
  <c r="M45" i="24"/>
  <c r="M42" i="24"/>
  <c r="M38" i="24"/>
  <c r="M31" i="24"/>
  <c r="M21" i="24"/>
  <c r="M4" i="24"/>
  <c r="M8" i="24"/>
  <c r="I193" i="40"/>
  <c r="I190" i="40"/>
  <c r="I184" i="40"/>
  <c r="I181" i="40"/>
  <c r="I176" i="40"/>
  <c r="I167" i="40"/>
  <c r="I163" i="40"/>
  <c r="I159" i="40"/>
  <c r="I154" i="40"/>
  <c r="I152" i="40"/>
  <c r="I149" i="40"/>
  <c r="I147" i="40"/>
  <c r="I133" i="40"/>
  <c r="I130" i="40"/>
  <c r="I124" i="40"/>
  <c r="I120" i="40"/>
  <c r="I117" i="40"/>
  <c r="I114" i="40"/>
  <c r="I110" i="40"/>
  <c r="I105" i="40"/>
  <c r="I102" i="40"/>
  <c r="I100" i="40"/>
  <c r="I95" i="40"/>
  <c r="I93" i="40"/>
  <c r="I86" i="40"/>
  <c r="I76" i="40"/>
  <c r="I72" i="40"/>
  <c r="I65" i="40"/>
  <c r="I59" i="40"/>
  <c r="I56" i="40"/>
  <c r="I54" i="40"/>
  <c r="I48" i="40"/>
  <c r="I46" i="40"/>
  <c r="I44" i="40"/>
  <c r="I33" i="40"/>
  <c r="I22" i="40"/>
  <c r="I20" i="40"/>
  <c r="I13" i="40"/>
  <c r="I11" i="40"/>
  <c r="I9" i="40"/>
  <c r="I6" i="40"/>
  <c r="L43" i="40" l="1"/>
  <c r="L42" i="40"/>
  <c r="L41" i="40"/>
  <c r="H146" i="40"/>
  <c r="F35" i="40"/>
  <c r="F36" i="40"/>
  <c r="F37" i="40"/>
  <c r="F38" i="40"/>
  <c r="F39" i="40"/>
  <c r="F40" i="40"/>
  <c r="F41" i="40"/>
  <c r="F42" i="40"/>
  <c r="F43" i="40"/>
  <c r="F44" i="40"/>
  <c r="F45" i="40"/>
  <c r="F46" i="40"/>
  <c r="F47" i="40"/>
  <c r="F48" i="40"/>
  <c r="F49" i="40"/>
  <c r="F50" i="40"/>
  <c r="F51" i="40"/>
  <c r="F52" i="40"/>
  <c r="F53" i="40"/>
  <c r="F54" i="40"/>
  <c r="F55" i="40"/>
  <c r="F56" i="40"/>
  <c r="F57" i="40"/>
  <c r="F58" i="40"/>
  <c r="F59" i="40"/>
  <c r="F60" i="40"/>
  <c r="F61" i="40"/>
  <c r="F62" i="40"/>
  <c r="F63" i="40"/>
  <c r="F64" i="40"/>
  <c r="F65" i="40"/>
  <c r="F66" i="40"/>
  <c r="F67" i="40"/>
  <c r="F68" i="40"/>
  <c r="F69" i="40"/>
  <c r="F70" i="40"/>
  <c r="F71" i="40"/>
  <c r="F72" i="40"/>
  <c r="F73" i="40"/>
  <c r="F74" i="40"/>
  <c r="F75" i="40"/>
  <c r="F76" i="40"/>
  <c r="F77" i="40"/>
  <c r="F78" i="40"/>
  <c r="F79" i="40"/>
  <c r="F80" i="40"/>
  <c r="F81" i="40"/>
  <c r="F82" i="40"/>
  <c r="F83" i="40"/>
  <c r="F84" i="40"/>
  <c r="F85" i="40"/>
  <c r="F86" i="40"/>
  <c r="F87" i="40"/>
  <c r="F88" i="40"/>
  <c r="F89" i="40"/>
  <c r="F90" i="40"/>
  <c r="F91" i="40"/>
  <c r="F92" i="40"/>
  <c r="F93" i="40"/>
  <c r="F94" i="40"/>
  <c r="F95" i="40"/>
  <c r="F96" i="40"/>
  <c r="F97" i="40"/>
  <c r="F98" i="40"/>
  <c r="F99" i="40"/>
  <c r="F100" i="40"/>
  <c r="F101" i="40"/>
  <c r="F102" i="40"/>
  <c r="F103" i="40"/>
  <c r="F104" i="40"/>
  <c r="F105" i="40"/>
  <c r="F106" i="40"/>
  <c r="F107" i="40"/>
  <c r="F108" i="40"/>
  <c r="F109" i="40"/>
  <c r="F110" i="40"/>
  <c r="F111" i="40"/>
  <c r="F112" i="40"/>
  <c r="F113" i="40"/>
  <c r="F114" i="40"/>
  <c r="F115" i="40"/>
  <c r="F116" i="40"/>
  <c r="F117" i="40"/>
  <c r="F118" i="40"/>
  <c r="F119" i="40"/>
  <c r="F120" i="40"/>
  <c r="F121" i="40"/>
  <c r="F122" i="40"/>
  <c r="F123" i="40"/>
  <c r="F124" i="40"/>
  <c r="F125" i="40"/>
  <c r="F126" i="40"/>
  <c r="F127" i="40"/>
  <c r="F128" i="40"/>
  <c r="F129" i="40"/>
  <c r="F130" i="40"/>
  <c r="F131" i="40"/>
  <c r="F132" i="40"/>
  <c r="F133" i="40"/>
  <c r="F134" i="40"/>
  <c r="F135" i="40"/>
  <c r="F136" i="40"/>
  <c r="F137" i="40"/>
  <c r="F138" i="40"/>
  <c r="F139" i="40"/>
  <c r="F140" i="40"/>
  <c r="F141" i="40"/>
  <c r="F142" i="40"/>
  <c r="F143" i="40"/>
  <c r="F144" i="40"/>
  <c r="F145" i="40"/>
  <c r="F146" i="40"/>
  <c r="F147" i="40"/>
  <c r="F148" i="40"/>
  <c r="F149" i="40"/>
  <c r="F150" i="40"/>
  <c r="F151" i="40"/>
  <c r="F152" i="40"/>
  <c r="F153" i="40"/>
  <c r="F154" i="40"/>
  <c r="F155" i="40"/>
  <c r="F156" i="40"/>
  <c r="F157" i="40"/>
  <c r="F158" i="40"/>
  <c r="F159" i="40"/>
  <c r="F160" i="40"/>
  <c r="F161" i="40"/>
  <c r="F162" i="40"/>
  <c r="F163" i="40"/>
  <c r="F164" i="40"/>
  <c r="F165" i="40"/>
  <c r="F166" i="40"/>
  <c r="F167" i="40"/>
  <c r="F168" i="40"/>
  <c r="F169" i="40"/>
  <c r="F170" i="40"/>
  <c r="F171" i="40"/>
  <c r="F172" i="40"/>
  <c r="F173" i="40"/>
  <c r="F174" i="40"/>
  <c r="F175" i="40"/>
  <c r="F176" i="40"/>
  <c r="F177" i="40"/>
  <c r="F178" i="40"/>
  <c r="F179" i="40"/>
  <c r="F180" i="40"/>
  <c r="F181" i="40"/>
  <c r="F182" i="40"/>
  <c r="F183" i="40"/>
  <c r="F184" i="40"/>
  <c r="F185" i="40"/>
  <c r="F186" i="40"/>
  <c r="F187" i="40"/>
  <c r="F188" i="40"/>
  <c r="F189" i="40"/>
  <c r="F190" i="40"/>
  <c r="F191" i="40"/>
  <c r="F192" i="40"/>
  <c r="F193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22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3" i="40"/>
  <c r="F4" i="40"/>
  <c r="F5" i="40"/>
  <c r="I1" i="40" l="1"/>
  <c r="D166" i="40"/>
  <c r="D167" i="40"/>
  <c r="D168" i="40"/>
  <c r="D169" i="40"/>
  <c r="D170" i="40"/>
  <c r="D171" i="40"/>
  <c r="D172" i="40"/>
  <c r="D173" i="40"/>
  <c r="D174" i="40"/>
  <c r="D175" i="40"/>
  <c r="D176" i="40"/>
  <c r="D177" i="40"/>
  <c r="D178" i="40"/>
  <c r="D179" i="40"/>
  <c r="D180" i="40"/>
  <c r="D181" i="40"/>
  <c r="D182" i="40"/>
  <c r="D183" i="40"/>
  <c r="D184" i="40"/>
  <c r="D185" i="40"/>
  <c r="D186" i="40"/>
  <c r="D187" i="40"/>
  <c r="D188" i="40"/>
  <c r="D189" i="40"/>
  <c r="D190" i="40"/>
  <c r="D191" i="40"/>
  <c r="D192" i="40"/>
  <c r="D193" i="40"/>
  <c r="D7" i="40"/>
  <c r="D8" i="40"/>
  <c r="D9" i="40"/>
  <c r="D10" i="40"/>
  <c r="D11" i="40"/>
  <c r="D12" i="40"/>
  <c r="D13" i="40"/>
  <c r="D14" i="40"/>
  <c r="D15" i="40"/>
  <c r="D16" i="40"/>
  <c r="D18" i="40"/>
  <c r="D19" i="40"/>
  <c r="D20" i="40"/>
  <c r="D21" i="40"/>
  <c r="D22" i="40"/>
  <c r="D23" i="40"/>
  <c r="D24" i="40"/>
  <c r="D25" i="40"/>
  <c r="D26" i="40"/>
  <c r="D31" i="40"/>
  <c r="D32" i="40"/>
  <c r="D33" i="40"/>
  <c r="D34" i="40"/>
  <c r="D35" i="40"/>
  <c r="D36" i="40"/>
  <c r="D37" i="40"/>
  <c r="D38" i="40"/>
  <c r="D39" i="40"/>
  <c r="D40" i="40"/>
  <c r="D42" i="40"/>
  <c r="D43" i="40"/>
  <c r="D44" i="40"/>
  <c r="D45" i="40"/>
  <c r="D46" i="40"/>
  <c r="D47" i="40"/>
  <c r="D48" i="40"/>
  <c r="D49" i="40"/>
  <c r="D52" i="40"/>
  <c r="D53" i="40"/>
  <c r="D54" i="40"/>
  <c r="D55" i="40"/>
  <c r="D57" i="40"/>
  <c r="D58" i="40"/>
  <c r="D59" i="40"/>
  <c r="D60" i="40"/>
  <c r="D61" i="40"/>
  <c r="D62" i="40"/>
  <c r="D63" i="40"/>
  <c r="D64" i="40"/>
  <c r="D65" i="40"/>
  <c r="D66" i="40"/>
  <c r="D67" i="40"/>
  <c r="D68" i="40"/>
  <c r="D70" i="40"/>
  <c r="D71" i="40"/>
  <c r="D72" i="40"/>
  <c r="D73" i="40"/>
  <c r="D74" i="40"/>
  <c r="D75" i="40"/>
  <c r="D76" i="40"/>
  <c r="D77" i="40"/>
  <c r="D78" i="40"/>
  <c r="D79" i="40"/>
  <c r="D80" i="40"/>
  <c r="D81" i="40"/>
  <c r="D82" i="40"/>
  <c r="D83" i="40"/>
  <c r="D84" i="40"/>
  <c r="D85" i="40"/>
  <c r="D86" i="40"/>
  <c r="D87" i="40"/>
  <c r="D88" i="40"/>
  <c r="D89" i="40"/>
  <c r="D91" i="40"/>
  <c r="D92" i="40"/>
  <c r="D93" i="40"/>
  <c r="D94" i="40"/>
  <c r="D95" i="40"/>
  <c r="D96" i="40"/>
  <c r="D97" i="40"/>
  <c r="D98" i="40"/>
  <c r="D99" i="40"/>
  <c r="D100" i="40"/>
  <c r="D101" i="40"/>
  <c r="D102" i="40"/>
  <c r="D103" i="40"/>
  <c r="D104" i="40"/>
  <c r="D105" i="40"/>
  <c r="D106" i="40"/>
  <c r="D107" i="40"/>
  <c r="D108" i="40"/>
  <c r="D109" i="40"/>
  <c r="D110" i="40"/>
  <c r="D111" i="40"/>
  <c r="D112" i="40"/>
  <c r="D113" i="40"/>
  <c r="D114" i="40"/>
  <c r="D115" i="40"/>
  <c r="D116" i="40"/>
  <c r="D117" i="40"/>
  <c r="D118" i="40"/>
  <c r="D119" i="40"/>
  <c r="D120" i="40"/>
  <c r="D122" i="40"/>
  <c r="D123" i="40"/>
  <c r="D124" i="40"/>
  <c r="D125" i="40"/>
  <c r="D128" i="40"/>
  <c r="D129" i="40"/>
  <c r="D130" i="40"/>
  <c r="D131" i="40"/>
  <c r="D132" i="40"/>
  <c r="D133" i="40"/>
  <c r="D134" i="40"/>
  <c r="D135" i="40"/>
  <c r="D136" i="40"/>
  <c r="D137" i="40"/>
  <c r="D138" i="40"/>
  <c r="D139" i="40"/>
  <c r="D140" i="40"/>
  <c r="D141" i="40"/>
  <c r="D142" i="40"/>
  <c r="D145" i="40"/>
  <c r="D146" i="40"/>
  <c r="D147" i="40"/>
  <c r="D148" i="40"/>
  <c r="D149" i="40"/>
  <c r="D150" i="40"/>
  <c r="D151" i="40"/>
  <c r="D152" i="40"/>
  <c r="D153" i="40"/>
  <c r="D154" i="40"/>
  <c r="D155" i="40"/>
  <c r="D157" i="40"/>
  <c r="D158" i="40"/>
  <c r="D159" i="40"/>
  <c r="D160" i="40"/>
  <c r="D161" i="40"/>
  <c r="D162" i="40"/>
  <c r="D163" i="40"/>
  <c r="D164" i="40"/>
  <c r="D165" i="40"/>
  <c r="D3" i="40"/>
  <c r="D4" i="40"/>
  <c r="D5" i="40"/>
  <c r="D6" i="40"/>
  <c r="J205" i="24"/>
  <c r="J204" i="24"/>
  <c r="J203" i="24"/>
  <c r="J202" i="24"/>
  <c r="J192" i="24"/>
  <c r="J191" i="24"/>
  <c r="J190" i="24"/>
  <c r="J189" i="24"/>
  <c r="J188" i="24"/>
  <c r="J187" i="24"/>
  <c r="J186" i="24"/>
  <c r="J185" i="24"/>
  <c r="J184" i="24"/>
  <c r="J178" i="24"/>
  <c r="J177" i="24"/>
  <c r="J174" i="24"/>
  <c r="J171" i="24"/>
  <c r="J170" i="24"/>
  <c r="J169" i="24"/>
  <c r="J166" i="24"/>
  <c r="J165" i="24"/>
  <c r="J156" i="24"/>
  <c r="J151" i="24"/>
  <c r="J140" i="24"/>
  <c r="J139" i="24"/>
  <c r="J138" i="24"/>
  <c r="J137" i="24"/>
  <c r="J136" i="24"/>
  <c r="J135" i="24"/>
  <c r="J134" i="24"/>
  <c r="J131" i="24"/>
  <c r="J128" i="24"/>
  <c r="J125" i="24"/>
  <c r="J124" i="24"/>
  <c r="J118" i="24"/>
  <c r="J115" i="24"/>
  <c r="J114" i="24"/>
  <c r="J113" i="24"/>
  <c r="J112" i="24"/>
  <c r="J111" i="24"/>
  <c r="J110" i="24"/>
  <c r="J109" i="24"/>
  <c r="J108" i="24"/>
  <c r="J107" i="24"/>
  <c r="J106" i="24"/>
  <c r="J101" i="24"/>
  <c r="J100" i="24"/>
  <c r="J99" i="24"/>
  <c r="J95" i="24"/>
  <c r="J94" i="24"/>
  <c r="J93" i="24"/>
  <c r="J92" i="24"/>
  <c r="J80" i="24"/>
  <c r="J79" i="24"/>
  <c r="J72" i="24"/>
  <c r="J71" i="24"/>
  <c r="J68" i="24"/>
  <c r="J67" i="24"/>
  <c r="J66" i="24"/>
  <c r="J63" i="24"/>
  <c r="J62" i="24"/>
  <c r="J59" i="24"/>
  <c r="J56" i="24"/>
  <c r="J55" i="24"/>
  <c r="J54" i="24"/>
  <c r="J48" i="24"/>
  <c r="J47" i="24"/>
  <c r="J46" i="24"/>
  <c r="J45" i="24"/>
  <c r="J44" i="24"/>
  <c r="J38" i="24"/>
  <c r="J37" i="24"/>
  <c r="J35" i="24"/>
  <c r="J36" i="24"/>
  <c r="J32" i="24"/>
  <c r="J31" i="24"/>
  <c r="J30" i="24"/>
  <c r="J29" i="24"/>
  <c r="J28" i="24"/>
  <c r="J25" i="24"/>
  <c r="J24" i="24"/>
  <c r="J12" i="24"/>
  <c r="J11" i="24"/>
  <c r="J10" i="24"/>
  <c r="J9" i="24"/>
  <c r="J8" i="24"/>
  <c r="J7" i="24"/>
  <c r="J6" i="24"/>
  <c r="J5" i="24"/>
  <c r="J4" i="24"/>
  <c r="G1" i="24"/>
  <c r="F1" i="24"/>
  <c r="K5" i="24" l="1"/>
  <c r="G1" i="40"/>
  <c r="I1" i="24"/>
  <c r="K64" i="24"/>
  <c r="K204" i="24"/>
  <c r="K192" i="24"/>
  <c r="K184" i="24"/>
  <c r="K172" i="24"/>
  <c r="K164" i="24"/>
  <c r="K152" i="24"/>
  <c r="K140" i="24"/>
  <c r="K132" i="24"/>
  <c r="K120" i="24"/>
  <c r="K112" i="24"/>
  <c r="K104" i="24"/>
  <c r="K96" i="24"/>
  <c r="K88" i="24"/>
  <c r="K84" i="24"/>
  <c r="K80" i="24"/>
  <c r="K76" i="24"/>
  <c r="K68" i="24"/>
  <c r="K60" i="24"/>
  <c r="K56" i="24"/>
  <c r="K52" i="24"/>
  <c r="K48" i="24"/>
  <c r="K44" i="24"/>
  <c r="K40" i="24"/>
  <c r="K36" i="24"/>
  <c r="K32" i="24"/>
  <c r="K28" i="24"/>
  <c r="K24" i="24"/>
  <c r="K20" i="24"/>
  <c r="K16" i="24"/>
  <c r="K12" i="24"/>
  <c r="K8" i="24"/>
  <c r="K203" i="24"/>
  <c r="K199" i="24"/>
  <c r="K195" i="24"/>
  <c r="K191" i="24"/>
  <c r="K187" i="24"/>
  <c r="K183" i="24"/>
  <c r="K179" i="24"/>
  <c r="K175" i="24"/>
  <c r="K171" i="24"/>
  <c r="K167" i="24"/>
  <c r="K163" i="24"/>
  <c r="K159" i="24"/>
  <c r="K155" i="24"/>
  <c r="K151" i="24"/>
  <c r="K147" i="24"/>
  <c r="K143" i="24"/>
  <c r="K139" i="24"/>
  <c r="K135" i="24"/>
  <c r="K131" i="24"/>
  <c r="K127" i="24"/>
  <c r="K123" i="24"/>
  <c r="K119" i="24"/>
  <c r="K115" i="24"/>
  <c r="K111" i="24"/>
  <c r="K107" i="24"/>
  <c r="K103" i="24"/>
  <c r="K99" i="24"/>
  <c r="K95" i="24"/>
  <c r="K91" i="24"/>
  <c r="K87" i="24"/>
  <c r="K83" i="24"/>
  <c r="K79" i="24"/>
  <c r="K75" i="24"/>
  <c r="K71" i="24"/>
  <c r="K67" i="24"/>
  <c r="K63" i="24"/>
  <c r="K59" i="24"/>
  <c r="K55" i="24"/>
  <c r="K51" i="24"/>
  <c r="K47" i="24"/>
  <c r="K43" i="24"/>
  <c r="K39" i="24"/>
  <c r="K35" i="24"/>
  <c r="K31" i="24"/>
  <c r="K27" i="24"/>
  <c r="K23" i="24"/>
  <c r="K19" i="24"/>
  <c r="K15" i="24"/>
  <c r="K11" i="24"/>
  <c r="K7" i="24"/>
  <c r="K196" i="24"/>
  <c r="K180" i="24"/>
  <c r="K168" i="24"/>
  <c r="K156" i="24"/>
  <c r="K144" i="24"/>
  <c r="K128" i="24"/>
  <c r="K72" i="24"/>
  <c r="K202" i="24"/>
  <c r="K198" i="24"/>
  <c r="K194" i="24"/>
  <c r="K190" i="24"/>
  <c r="K186" i="24"/>
  <c r="K182" i="24"/>
  <c r="K178" i="24"/>
  <c r="K174" i="24"/>
  <c r="K170" i="24"/>
  <c r="K166" i="24"/>
  <c r="K162" i="24"/>
  <c r="K158" i="24"/>
  <c r="K154" i="24"/>
  <c r="K150" i="24"/>
  <c r="K146" i="24"/>
  <c r="K142" i="24"/>
  <c r="K138" i="24"/>
  <c r="K134" i="24"/>
  <c r="K130" i="24"/>
  <c r="K126" i="24"/>
  <c r="K122" i="24"/>
  <c r="K118" i="24"/>
  <c r="K114" i="24"/>
  <c r="K110" i="24"/>
  <c r="K106" i="24"/>
  <c r="K102" i="24"/>
  <c r="K98" i="24"/>
  <c r="K94" i="24"/>
  <c r="K90" i="24"/>
  <c r="K86" i="24"/>
  <c r="K82" i="24"/>
  <c r="K78" i="24"/>
  <c r="K74" i="24"/>
  <c r="K70" i="24"/>
  <c r="K66" i="24"/>
  <c r="K62" i="24"/>
  <c r="K58" i="24"/>
  <c r="K54" i="24"/>
  <c r="K50" i="24"/>
  <c r="K46" i="24"/>
  <c r="K42" i="24"/>
  <c r="K38" i="24"/>
  <c r="K34" i="24"/>
  <c r="K30" i="24"/>
  <c r="K26" i="24"/>
  <c r="K22" i="24"/>
  <c r="K18" i="24"/>
  <c r="K14" i="24"/>
  <c r="K10" i="24"/>
  <c r="K6" i="24"/>
  <c r="K200" i="24"/>
  <c r="K188" i="24"/>
  <c r="K176" i="24"/>
  <c r="K160" i="24"/>
  <c r="K148" i="24"/>
  <c r="K136" i="24"/>
  <c r="K124" i="24"/>
  <c r="K116" i="24"/>
  <c r="K108" i="24"/>
  <c r="K100" i="24"/>
  <c r="K92" i="24"/>
  <c r="K205" i="24"/>
  <c r="K201" i="24"/>
  <c r="K197" i="24"/>
  <c r="K193" i="24"/>
  <c r="K189" i="24"/>
  <c r="K185" i="24"/>
  <c r="K181" i="24"/>
  <c r="K177" i="24"/>
  <c r="K173" i="24"/>
  <c r="K169" i="24"/>
  <c r="K165" i="24"/>
  <c r="K161" i="24"/>
  <c r="K157" i="24"/>
  <c r="K153" i="24"/>
  <c r="K149" i="24"/>
  <c r="K145" i="24"/>
  <c r="K141" i="24"/>
  <c r="K137" i="24"/>
  <c r="K133" i="24"/>
  <c r="K129" i="24"/>
  <c r="K125" i="24"/>
  <c r="K121" i="24"/>
  <c r="K117" i="24"/>
  <c r="K113" i="24"/>
  <c r="K109" i="24"/>
  <c r="K105" i="24"/>
  <c r="K101" i="24"/>
  <c r="K97" i="24"/>
  <c r="K93" i="24"/>
  <c r="K89" i="24"/>
  <c r="K85" i="24"/>
  <c r="K81" i="24"/>
  <c r="K77" i="24"/>
  <c r="K73" i="24"/>
  <c r="K69" i="24"/>
  <c r="K65" i="24"/>
  <c r="K61" i="24"/>
  <c r="K57" i="24"/>
  <c r="K53" i="24"/>
  <c r="K49" i="24"/>
  <c r="K45" i="24"/>
  <c r="K41" i="24"/>
  <c r="K37" i="24"/>
  <c r="K33" i="24"/>
  <c r="K29" i="24"/>
  <c r="K25" i="24"/>
  <c r="K21" i="24"/>
  <c r="K17" i="24"/>
  <c r="K13" i="24"/>
  <c r="K9" i="24"/>
  <c r="J1" i="24"/>
  <c r="R38" i="24"/>
  <c r="R39" i="24"/>
  <c r="R41" i="24" l="1"/>
  <c r="R42" i="24" s="1"/>
  <c r="E1" i="40" l="1"/>
  <c r="B1" i="40"/>
  <c r="B1" i="24"/>
  <c r="F1" i="40" l="1"/>
  <c r="J2" i="16" l="1"/>
  <c r="J6" i="16"/>
  <c r="J8" i="16"/>
  <c r="J13" i="16"/>
  <c r="J14" i="16"/>
  <c r="J16" i="16"/>
  <c r="J18" i="16"/>
  <c r="J24" i="16"/>
  <c r="J25" i="16"/>
  <c r="J27" i="16"/>
  <c r="J30" i="16"/>
  <c r="J32" i="16"/>
  <c r="J33" i="16"/>
  <c r="J158" i="16"/>
  <c r="J159" i="16"/>
  <c r="J160" i="16"/>
  <c r="J161" i="16"/>
  <c r="J162" i="16"/>
  <c r="J163" i="16"/>
  <c r="H158" i="16"/>
  <c r="H159" i="16"/>
  <c r="H160" i="16"/>
  <c r="H161" i="16"/>
  <c r="H162" i="16"/>
  <c r="H163" i="16"/>
  <c r="J21" i="16"/>
  <c r="J19" i="16"/>
  <c r="J10" i="16"/>
  <c r="J3" i="16"/>
  <c r="H149" i="16"/>
  <c r="H150" i="16"/>
  <c r="H151" i="16"/>
  <c r="H152" i="16"/>
  <c r="H153" i="16"/>
  <c r="H154" i="16"/>
  <c r="H155" i="16"/>
  <c r="H156" i="16"/>
  <c r="H157" i="16"/>
  <c r="J151" i="16"/>
  <c r="J152" i="16"/>
  <c r="J153" i="16"/>
  <c r="J154" i="16"/>
  <c r="J155" i="16"/>
  <c r="J156" i="16"/>
  <c r="J157" i="16"/>
  <c r="J4" i="16"/>
  <c r="J5" i="16"/>
  <c r="J7" i="16"/>
  <c r="J9" i="16"/>
  <c r="J11" i="16"/>
  <c r="J12" i="16"/>
  <c r="J15" i="16"/>
  <c r="J17" i="16"/>
  <c r="J20" i="16"/>
  <c r="J22" i="16"/>
  <c r="J23" i="16"/>
  <c r="J26" i="16"/>
  <c r="J28" i="16"/>
  <c r="J29" i="16"/>
  <c r="J31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H12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H102" i="16"/>
  <c r="H103" i="16"/>
  <c r="H104" i="16"/>
  <c r="H105" i="16"/>
  <c r="H106" i="16"/>
  <c r="H107" i="16"/>
  <c r="H108" i="16"/>
  <c r="H109" i="16"/>
  <c r="H110" i="16"/>
  <c r="H111" i="16"/>
  <c r="H112" i="16"/>
  <c r="H113" i="16"/>
  <c r="H114" i="16"/>
  <c r="H115" i="16"/>
  <c r="H116" i="16"/>
  <c r="H117" i="16"/>
  <c r="H118" i="16"/>
  <c r="H119" i="16"/>
  <c r="H120" i="16"/>
  <c r="H121" i="16"/>
  <c r="H122" i="16"/>
  <c r="H123" i="16"/>
  <c r="H124" i="16"/>
  <c r="H125" i="16"/>
  <c r="H126" i="16"/>
  <c r="H127" i="16"/>
  <c r="H128" i="16"/>
  <c r="H129" i="16"/>
  <c r="H130" i="16"/>
  <c r="H131" i="16"/>
  <c r="H132" i="16"/>
  <c r="H133" i="16"/>
  <c r="H134" i="16"/>
  <c r="H135" i="16"/>
  <c r="H136" i="16"/>
  <c r="H137" i="16"/>
  <c r="H138" i="16"/>
  <c r="H139" i="16"/>
  <c r="H140" i="16"/>
  <c r="H141" i="16"/>
  <c r="H142" i="16"/>
  <c r="H143" i="16"/>
  <c r="H144" i="16"/>
  <c r="H145" i="16"/>
  <c r="H146" i="16"/>
  <c r="H147" i="16"/>
  <c r="H14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28" i="16"/>
  <c r="H29" i="16"/>
  <c r="H30" i="16"/>
  <c r="H31" i="16"/>
  <c r="H32" i="16"/>
  <c r="H33" i="16"/>
  <c r="H34" i="16"/>
  <c r="H35" i="16"/>
  <c r="H36" i="16"/>
  <c r="H37" i="16"/>
  <c r="H38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7" i="16"/>
  <c r="H8" i="16"/>
  <c r="H9" i="16"/>
  <c r="H10" i="16"/>
  <c r="H11" i="16"/>
  <c r="H13" i="16"/>
  <c r="H6" i="16"/>
  <c r="H5" i="16"/>
  <c r="H4" i="16"/>
  <c r="H3" i="16"/>
  <c r="H2" i="16"/>
  <c r="K2" i="16"/>
  <c r="K160" i="16" l="1"/>
  <c r="K163" i="16"/>
  <c r="K159" i="16"/>
  <c r="K161" i="16"/>
  <c r="K162" i="16"/>
  <c r="K158" i="16"/>
  <c r="K156" i="16"/>
  <c r="K157" i="16"/>
  <c r="K154" i="16"/>
  <c r="K155" i="16"/>
  <c r="K152" i="16"/>
  <c r="K150" i="16"/>
  <c r="K148" i="16"/>
  <c r="K144" i="16"/>
  <c r="K146" i="16"/>
  <c r="K153" i="16"/>
  <c r="K151" i="16"/>
  <c r="K149" i="16"/>
  <c r="K147" i="16"/>
  <c r="K145" i="16"/>
  <c r="K143" i="16"/>
  <c r="K140" i="16"/>
  <c r="K142" i="16"/>
  <c r="K141" i="16"/>
  <c r="K135" i="16"/>
  <c r="K138" i="16"/>
  <c r="K136" i="16"/>
  <c r="K139" i="16"/>
  <c r="K137" i="16"/>
  <c r="K54" i="16"/>
  <c r="K39" i="16"/>
  <c r="K22" i="16"/>
  <c r="K28" i="16"/>
  <c r="K34" i="16"/>
  <c r="K44" i="16"/>
  <c r="K110" i="16"/>
  <c r="K102" i="16"/>
  <c r="K94" i="16"/>
  <c r="K86" i="16"/>
  <c r="K74" i="16"/>
  <c r="K62" i="16"/>
  <c r="K58" i="16"/>
  <c r="K20" i="16"/>
  <c r="K26" i="16"/>
  <c r="K30" i="16"/>
  <c r="K40" i="16"/>
  <c r="K36" i="16"/>
  <c r="K42" i="16"/>
  <c r="K50" i="16"/>
  <c r="K46" i="16"/>
  <c r="K116" i="16"/>
  <c r="K112" i="16"/>
  <c r="K108" i="16"/>
  <c r="K104" i="16"/>
  <c r="K100" i="16"/>
  <c r="K96" i="16"/>
  <c r="K92" i="16"/>
  <c r="K88" i="16"/>
  <c r="K84" i="16"/>
  <c r="K80" i="16"/>
  <c r="K76" i="16"/>
  <c r="K72" i="16"/>
  <c r="K68" i="16"/>
  <c r="K64" i="16"/>
  <c r="K60" i="16"/>
  <c r="K56" i="16"/>
  <c r="K19" i="16"/>
  <c r="K29" i="16"/>
  <c r="K35" i="16"/>
  <c r="K52" i="16"/>
  <c r="K49" i="16"/>
  <c r="K45" i="16"/>
  <c r="K115" i="16"/>
  <c r="K111" i="16"/>
  <c r="K107" i="16"/>
  <c r="K103" i="16"/>
  <c r="K99" i="16"/>
  <c r="K95" i="16"/>
  <c r="K91" i="16"/>
  <c r="K87" i="16"/>
  <c r="K83" i="16"/>
  <c r="K79" i="16"/>
  <c r="K75" i="16"/>
  <c r="K71" i="16"/>
  <c r="K67" i="16"/>
  <c r="K63" i="16"/>
  <c r="K59" i="16"/>
  <c r="K55" i="16"/>
  <c r="K117" i="16"/>
  <c r="K120" i="16"/>
  <c r="K23" i="16"/>
  <c r="K38" i="16"/>
  <c r="K78" i="16"/>
  <c r="K31" i="16"/>
  <c r="K24" i="16"/>
  <c r="K32" i="16"/>
  <c r="K53" i="16"/>
  <c r="K48" i="16"/>
  <c r="K114" i="16"/>
  <c r="K106" i="16"/>
  <c r="K98" i="16"/>
  <c r="K90" i="16"/>
  <c r="K82" i="16"/>
  <c r="K70" i="16"/>
  <c r="K66" i="16"/>
  <c r="K21" i="16"/>
  <c r="K25" i="16"/>
  <c r="K27" i="16"/>
  <c r="K41" i="16"/>
  <c r="K37" i="16"/>
  <c r="K33" i="16"/>
  <c r="K51" i="16"/>
  <c r="K47" i="16"/>
  <c r="K43" i="16"/>
  <c r="K113" i="16"/>
  <c r="K109" i="16"/>
  <c r="K105" i="16"/>
  <c r="K101" i="16"/>
  <c r="K97" i="16"/>
  <c r="K93" i="16"/>
  <c r="K89" i="16"/>
  <c r="K85" i="16"/>
  <c r="K81" i="16"/>
  <c r="K77" i="16"/>
  <c r="K73" i="16"/>
  <c r="K69" i="16"/>
  <c r="K65" i="16"/>
  <c r="K61" i="16"/>
  <c r="K57" i="16"/>
  <c r="K118" i="16"/>
  <c r="K119" i="16"/>
  <c r="K133" i="16"/>
  <c r="K130" i="16"/>
  <c r="K131" i="16"/>
  <c r="K132" i="16"/>
  <c r="K134" i="16"/>
  <c r="K126" i="16"/>
  <c r="K121" i="16"/>
  <c r="K122" i="16"/>
  <c r="K129" i="16"/>
  <c r="K127" i="16"/>
  <c r="K125" i="16"/>
  <c r="K124" i="16"/>
  <c r="K128" i="16"/>
  <c r="K123" i="16"/>
  <c r="J1" i="16"/>
  <c r="K3" i="16"/>
  <c r="B3" i="16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K17" i="16" l="1"/>
  <c r="K13" i="16"/>
  <c r="K9" i="16"/>
  <c r="K5" i="16"/>
  <c r="K16" i="16"/>
  <c r="K12" i="16"/>
  <c r="K8" i="16"/>
  <c r="K4" i="16"/>
  <c r="K15" i="16"/>
  <c r="K11" i="16"/>
  <c r="K7" i="16"/>
  <c r="K18" i="16"/>
  <c r="K14" i="16"/>
  <c r="K10" i="16"/>
  <c r="K6" i="16"/>
  <c r="B27" i="16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" i="16" l="1"/>
  <c r="A45" i="1" l="1"/>
  <c r="A46" i="1" s="1"/>
  <c r="A47" i="1" s="1"/>
  <c r="A48" i="1" s="1"/>
  <c r="A49" i="1" s="1"/>
  <c r="A50" i="1" s="1"/>
  <c r="A51" i="1" s="1"/>
  <c r="A52" i="1" s="1"/>
  <c r="A53" i="1" s="1"/>
  <c r="A54" i="1" s="1"/>
  <c r="Y631" i="1" l="1"/>
  <c r="F1" i="1" l="1"/>
  <c r="L42" i="1" l="1"/>
  <c r="L7" i="1"/>
  <c r="L45" i="1"/>
  <c r="L43" i="1"/>
  <c r="L53" i="1"/>
  <c r="L11" i="1"/>
  <c r="L29" i="1"/>
  <c r="L39" i="1"/>
  <c r="L32" i="1"/>
  <c r="L12" i="1"/>
  <c r="L16" i="1"/>
  <c r="L19" i="1"/>
  <c r="L24" i="1"/>
  <c r="L38" i="1"/>
  <c r="L17" i="1"/>
  <c r="L41" i="1"/>
  <c r="L18" i="1"/>
  <c r="L35" i="1"/>
  <c r="L51" i="1"/>
  <c r="L20" i="1"/>
  <c r="L33" i="1"/>
  <c r="L52" i="1"/>
  <c r="L15" i="1"/>
  <c r="L28" i="1"/>
  <c r="L47" i="1"/>
  <c r="L27" i="1"/>
  <c r="L54" i="1"/>
  <c r="L13" i="1"/>
  <c r="L36" i="1"/>
  <c r="L22" i="1"/>
  <c r="L34" i="1"/>
  <c r="L37" i="1"/>
  <c r="L40" i="1"/>
  <c r="L30" i="1"/>
  <c r="L48" i="1"/>
  <c r="L50" i="1"/>
  <c r="L44" i="1"/>
  <c r="L31" i="1"/>
  <c r="L25" i="1"/>
  <c r="L23" i="1"/>
  <c r="L46" i="1"/>
  <c r="L21" i="1"/>
  <c r="L26" i="1"/>
  <c r="L10" i="1"/>
  <c r="L49" i="1"/>
  <c r="M56" i="1" l="1"/>
  <c r="K56" i="1" s="1"/>
  <c r="M57" i="1"/>
  <c r="I4" i="1"/>
  <c r="J2" i="1" s="1"/>
  <c r="J5" i="1" s="1"/>
  <c r="H5" i="1"/>
  <c r="K2" i="1" l="1"/>
  <c r="I2" i="1"/>
  <c r="K60" i="1"/>
  <c r="K57" i="1" l="1"/>
  <c r="L1" i="1"/>
  <c r="P5" i="1"/>
  <c r="H1" i="1"/>
  <c r="K58" i="1" l="1"/>
  <c r="L57" i="1"/>
  <c r="I43" i="1"/>
  <c r="I52" i="1"/>
  <c r="I53" i="1"/>
  <c r="I54" i="1"/>
  <c r="I48" i="1"/>
  <c r="I51" i="1"/>
  <c r="I41" i="1"/>
  <c r="I45" i="1"/>
  <c r="I44" i="1"/>
  <c r="I38" i="1"/>
  <c r="I37" i="1"/>
  <c r="I30" i="1"/>
  <c r="I33" i="1"/>
  <c r="I31" i="1"/>
  <c r="I46" i="1"/>
  <c r="I49" i="1"/>
  <c r="I34" i="1"/>
  <c r="I29" i="1"/>
  <c r="I35" i="1"/>
  <c r="I32" i="1"/>
  <c r="I26" i="1"/>
  <c r="I24" i="1"/>
  <c r="I28" i="1"/>
  <c r="I14" i="1"/>
  <c r="I12" i="1"/>
  <c r="I25" i="1"/>
  <c r="I16" i="1"/>
  <c r="I19" i="1"/>
  <c r="I21" i="1"/>
  <c r="I9" i="1"/>
  <c r="I18" i="1"/>
  <c r="I6" i="1"/>
  <c r="I10" i="1"/>
  <c r="I50" i="1"/>
  <c r="I7" i="1"/>
  <c r="I42" i="1"/>
  <c r="I47" i="1"/>
  <c r="I36" i="1"/>
  <c r="I40" i="1"/>
  <c r="I22" i="1"/>
  <c r="I27" i="1"/>
  <c r="I17" i="1"/>
  <c r="I20" i="1"/>
  <c r="I11" i="1"/>
  <c r="I13" i="1"/>
  <c r="I39" i="1"/>
  <c r="I8" i="1"/>
  <c r="I15" i="1"/>
  <c r="I23" i="1"/>
  <c r="I5" i="1" l="1"/>
  <c r="I1" i="1" s="1"/>
  <c r="J15" i="1" l="1"/>
</calcChain>
</file>

<file path=xl/sharedStrings.xml><?xml version="1.0" encoding="utf-8"?>
<sst xmlns="http://schemas.openxmlformats.org/spreadsheetml/2006/main" count="161" uniqueCount="81">
  <si>
    <t>Желаемый % с обор.</t>
  </si>
  <si>
    <t>Уже проиграно</t>
  </si>
  <si>
    <t>Коэффициент</t>
  </si>
  <si>
    <t>N</t>
  </si>
  <si>
    <t>Table1[Коэффициент]</t>
  </si>
  <si>
    <t>Сумма stavki</t>
  </si>
  <si>
    <t>Predpologaemi viigrish</t>
  </si>
  <si>
    <t>Столбец1</t>
  </si>
  <si>
    <t>сумма ставки</t>
  </si>
  <si>
    <t>средний коэфф.</t>
  </si>
  <si>
    <t>фактический коэфф.</t>
  </si>
  <si>
    <t>время начала</t>
  </si>
  <si>
    <t>выигрыш</t>
  </si>
  <si>
    <t>выиг. в пуле</t>
  </si>
  <si>
    <t>дата</t>
  </si>
  <si>
    <t>тираж</t>
  </si>
  <si>
    <t>событие</t>
  </si>
  <si>
    <t>АНГЛИЯПремьер-лига</t>
  </si>
  <si>
    <t>X</t>
  </si>
  <si>
    <t>Ливерпуль</t>
  </si>
  <si>
    <t>Манчестер Юнайтед</t>
  </si>
  <si>
    <t>-</t>
  </si>
  <si>
    <t>ИСПАНИЯПримера</t>
  </si>
  <si>
    <t>Мальорка</t>
  </si>
  <si>
    <t>Алавес</t>
  </si>
  <si>
    <t>Бетис</t>
  </si>
  <si>
    <t>Эльче</t>
  </si>
  <si>
    <t>4.00</t>
  </si>
  <si>
    <t>6.00</t>
  </si>
  <si>
    <t>Вильярреал</t>
  </si>
  <si>
    <t>Валенсия</t>
  </si>
  <si>
    <t>НИДЕРЛАНДЫВысшая лига</t>
  </si>
  <si>
    <t>Будет</t>
  </si>
  <si>
    <t>доигран позже</t>
  </si>
  <si>
    <t>Витесс</t>
  </si>
  <si>
    <t>Спарта</t>
  </si>
  <si>
    <t>АВСТРАЛИЯЛига А</t>
  </si>
  <si>
    <t>Вестерн Юнайтед</t>
  </si>
  <si>
    <t>Макартур</t>
  </si>
  <si>
    <t>АВСТРАЛИЯНПЛ Западная Австралия</t>
  </si>
  <si>
    <t>Перенесен</t>
  </si>
  <si>
    <t>Армадейл</t>
  </si>
  <si>
    <t>Балькатта</t>
  </si>
  <si>
    <t>АВСТРИЯВосточная региональная лига</t>
  </si>
  <si>
    <t>Трайскирхен</t>
  </si>
  <si>
    <t>Нойзидль</t>
  </si>
  <si>
    <t>Адмира II</t>
  </si>
  <si>
    <t>Электра</t>
  </si>
  <si>
    <t>АЗЕРБАЙДЖАНПервый дивизион</t>
  </si>
  <si>
    <t>Карабах 2</t>
  </si>
  <si>
    <t>МОИК</t>
  </si>
  <si>
    <t>Кяпаз</t>
  </si>
  <si>
    <t>Сабаил 2</t>
  </si>
  <si>
    <t>Локбатан</t>
  </si>
  <si>
    <t>Загатала</t>
  </si>
  <si>
    <t>АЗИЯЛига чемпионов</t>
  </si>
  <si>
    <t>Аль-Ахли Дубай (Оаэ)</t>
  </si>
  <si>
    <t>Аль-Гарафа (Кат)</t>
  </si>
  <si>
    <t>Аль-Шабаб (Сау)</t>
  </si>
  <si>
    <t>Аль-Кува Аль-Джавия (Ирк)</t>
  </si>
  <si>
    <t>Сепахан (Ирн)</t>
  </si>
  <si>
    <t>Аль-Таавун (Сау)</t>
  </si>
  <si>
    <t>Кобе (Япо)</t>
  </si>
  <si>
    <t>Китчи (Гоо)</t>
  </si>
  <si>
    <t>ФК Сидней (Авс)</t>
  </si>
  <si>
    <t>Хоангань Зялай (Вье)</t>
  </si>
  <si>
    <t>Йокогама M. (Япо)</t>
  </si>
  <si>
    <t>Чонбук Моторс (Кор)</t>
  </si>
  <si>
    <t>Отменен</t>
  </si>
  <si>
    <t>Чианграй Юнайтед (Таи)</t>
  </si>
  <si>
    <t>Шанхай Порт (Кит)</t>
  </si>
  <si>
    <t>Аль-Вехдат (Иор)</t>
  </si>
  <si>
    <t>Аль-Садд (Кат)</t>
  </si>
  <si>
    <t>Аль-Раян (Кат)</t>
  </si>
  <si>
    <t>Аль-Шаржа (Оаэ)</t>
  </si>
  <si>
    <t>АЗИЯКубок АФК - Квалификация - плей-офф</t>
  </si>
  <si>
    <t>Ли Ман Уорриорс (Гоо)</t>
  </si>
  <si>
    <t>Атлетик 220 (Мнг)</t>
  </si>
  <si>
    <t>21.00</t>
  </si>
  <si>
    <t>АТК Мохун Баган (Инд)</t>
  </si>
  <si>
    <t>Абахани Лимитед (Бан)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</si>
</sst>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#,##0\ &quot;₽&quot;;\-#,##0\ &quot;₽&quot;"/>
    <numFmt numFmtId="165" formatCode="_-* #,##0.00\ _₽_-;\-* #,##0.00\ _₽_-;_-* &quot;-&quot;??\ _₽_-;_-@_-"/>
    <numFmt numFmtId="166" formatCode="_(* #,##0_);_(* \(#,##0\);_(* &quot;-&quot;??_);_(@_)"/>
    <numFmt numFmtId="167" formatCode="_-* #,##0\ _₽_-;\-* #,##0\ _₽_-;_-* &quot;-&quot;??\ _₽_-;_-@_-"/>
    <numFmt numFmtId="168" formatCode="0.0"/>
    <numFmt numFmtId="169" formatCode="#,##0\ &quot;₽&quot;;[Red]#,##0\ &quot;₽&quot;"/>
    <numFmt numFmtId="170" formatCode="0.0%"/>
    <numFmt numFmtId="171" formatCode="_-* #,##0.0\ _₽_-;\-* #,##0.0\ _₽_-;_-* &quot;-&quot;??\ _₽_-;_-@_-"/>
    <numFmt numFmtId="172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Lucida Bright"/>
      <family val="1"/>
    </font>
    <font>
      <b/>
      <sz val="11"/>
      <name val="Lucida Bright"/>
      <family val="1"/>
    </font>
    <font>
      <sz val="11"/>
      <color rgb="FFFF0000"/>
      <name val="Lucida Bright"/>
      <family val="1"/>
    </font>
    <font>
      <sz val="8"/>
      <color theme="1"/>
      <name val="Lucida Bright"/>
      <family val="1"/>
    </font>
    <font>
      <sz val="10"/>
      <name val="Lucida Bright"/>
      <family val="1"/>
    </font>
    <font>
      <sz val="10"/>
      <color theme="1"/>
      <name val="Calibri"/>
      <family val="2"/>
      <scheme val="minor"/>
    </font>
    <font>
      <sz val="10"/>
      <color theme="1"/>
      <name val="Lucida Bright"/>
      <family val="1"/>
    </font>
    <font>
      <sz val="5"/>
      <color theme="1"/>
      <name val="Lucida Bright"/>
      <family val="1"/>
    </font>
    <font>
      <sz val="12"/>
      <color theme="1"/>
      <name val="Lucida Bright"/>
      <family val="1"/>
    </font>
    <font>
      <u/>
      <sz val="12"/>
      <color theme="1"/>
      <name val="Calibri"/>
      <family val="2"/>
      <charset val="204"/>
      <scheme val="minor"/>
    </font>
    <font>
      <b/>
      <sz val="12"/>
      <color rgb="FFFF0000"/>
      <name val="Lucida Bright"/>
      <family val="1"/>
    </font>
    <font>
      <u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6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rgb="FFFF0000"/>
      <name val="Lucida Bright"/>
      <family val="1"/>
    </font>
    <font>
      <sz val="9"/>
      <name val="Lucida Bright"/>
      <family val="1"/>
    </font>
    <font>
      <b/>
      <sz val="9"/>
      <name val="Lucida Bright"/>
      <family val="1"/>
    </font>
    <font>
      <sz val="9"/>
      <color theme="1"/>
      <name val="Lucida Bright"/>
      <family val="1"/>
    </font>
    <font>
      <b/>
      <u/>
      <sz val="11"/>
      <color rgb="FF008000"/>
      <name val="Lucida Bright"/>
      <family val="1"/>
    </font>
    <font>
      <sz val="10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26">
    <border>
      <left/>
      <right/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theme="3"/>
      </left>
      <right style="dashDotDot">
        <color theme="3"/>
      </right>
      <top style="double">
        <color theme="3"/>
      </top>
      <bottom style="dashDotDot">
        <color theme="3"/>
      </bottom>
      <diagonal/>
    </border>
    <border>
      <left style="dashDotDot">
        <color theme="3"/>
      </left>
      <right style="dashDotDot">
        <color theme="3"/>
      </right>
      <top style="double">
        <color theme="3"/>
      </top>
      <bottom style="dashDotDot">
        <color theme="3"/>
      </bottom>
      <diagonal/>
    </border>
    <border>
      <left style="dashDotDot">
        <color theme="3"/>
      </left>
      <right style="double">
        <color theme="3"/>
      </right>
      <top style="double">
        <color theme="3"/>
      </top>
      <bottom style="dashDotDot">
        <color theme="3"/>
      </bottom>
      <diagonal/>
    </border>
    <border>
      <left style="double">
        <color theme="3"/>
      </left>
      <right style="dashDotDot">
        <color theme="3"/>
      </right>
      <top style="dashDotDot">
        <color theme="3"/>
      </top>
      <bottom style="double">
        <color theme="3"/>
      </bottom>
      <diagonal/>
    </border>
    <border>
      <left style="dashDotDot">
        <color theme="3"/>
      </left>
      <right style="dashDotDot">
        <color theme="3"/>
      </right>
      <top style="dashDotDot">
        <color theme="3"/>
      </top>
      <bottom style="double">
        <color theme="3"/>
      </bottom>
      <diagonal/>
    </border>
    <border>
      <left style="dashDotDot">
        <color theme="3"/>
      </left>
      <right style="double">
        <color theme="3"/>
      </right>
      <top style="dashDotDot">
        <color theme="3"/>
      </top>
      <bottom style="double">
        <color theme="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177">
    <xf numFmtId="0" fontId="0" fillId="0" borderId="0" xfId="0"/>
    <xf numFmtId="0" fontId="8" fillId="0" borderId="1" xfId="0" applyFont="1" applyFill="1" applyBorder="1" applyAlignment="1">
      <alignment horizontal="center" vertical="top"/>
    </xf>
    <xf numFmtId="0" fontId="8" fillId="0" borderId="2" xfId="0" applyFont="1" applyFill="1" applyBorder="1" applyAlignment="1" applyProtection="1">
      <alignment horizontal="center" vertical="top"/>
      <protection hidden="1"/>
    </xf>
    <xf numFmtId="0" fontId="8" fillId="0" borderId="3" xfId="0" applyFont="1" applyFill="1" applyBorder="1" applyAlignment="1" applyProtection="1">
      <alignment horizontal="center" vertical="top"/>
      <protection hidden="1"/>
    </xf>
    <xf numFmtId="0" fontId="8" fillId="0" borderId="0" xfId="0" applyFont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0" xfId="0" applyFont="1" applyFill="1" applyAlignment="1">
      <alignment vertical="center"/>
    </xf>
    <xf numFmtId="43" fontId="11" fillId="0" borderId="0" xfId="0" applyNumberFormat="1" applyFont="1" applyFill="1" applyAlignment="1">
      <alignment vertical="center"/>
    </xf>
    <xf numFmtId="0" fontId="10" fillId="0" borderId="4" xfId="0" applyFont="1" applyBorder="1" applyAlignment="1">
      <alignment vertical="top"/>
    </xf>
    <xf numFmtId="0" fontId="8" fillId="0" borderId="5" xfId="0" applyFont="1" applyBorder="1" applyAlignment="1">
      <alignment vertical="top"/>
    </xf>
    <xf numFmtId="9" fontId="9" fillId="0" borderId="6" xfId="2" applyFont="1" applyBorder="1" applyAlignment="1">
      <alignment vertical="top"/>
    </xf>
    <xf numFmtId="0" fontId="10" fillId="0" borderId="7" xfId="0" applyFont="1" applyBorder="1" applyAlignment="1">
      <alignment vertical="top"/>
    </xf>
    <xf numFmtId="0" fontId="8" fillId="0" borderId="8" xfId="0" applyFont="1" applyBorder="1" applyAlignment="1">
      <alignment vertical="top"/>
    </xf>
    <xf numFmtId="3" fontId="9" fillId="0" borderId="9" xfId="1" applyNumberFormat="1" applyFont="1" applyBorder="1" applyAlignment="1">
      <alignment horizontal="right" vertical="top"/>
    </xf>
    <xf numFmtId="3" fontId="0" fillId="0" borderId="0" xfId="0" applyNumberFormat="1" applyFont="1" applyAlignment="1">
      <alignment vertical="center"/>
    </xf>
    <xf numFmtId="2" fontId="8" fillId="0" borderId="0" xfId="0" applyNumberFormat="1" applyFont="1" applyAlignment="1">
      <alignment vertical="center"/>
    </xf>
    <xf numFmtId="167" fontId="12" fillId="0" borderId="2" xfId="1" applyNumberFormat="1" applyFont="1" applyFill="1" applyBorder="1" applyAlignment="1">
      <alignment horizontal="center" vertical="top"/>
    </xf>
    <xf numFmtId="165" fontId="14" fillId="0" borderId="0" xfId="1" applyFont="1" applyAlignment="1">
      <alignment vertical="center"/>
    </xf>
    <xf numFmtId="3" fontId="8" fillId="0" borderId="0" xfId="0" applyNumberFormat="1" applyFont="1" applyAlignment="1">
      <alignment vertical="center"/>
    </xf>
    <xf numFmtId="1" fontId="14" fillId="0" borderId="0" xfId="0" applyNumberFormat="1" applyFont="1" applyAlignment="1">
      <alignment vertical="center"/>
    </xf>
    <xf numFmtId="4" fontId="0" fillId="0" borderId="0" xfId="0" applyNumberFormat="1" applyFont="1" applyAlignment="1">
      <alignment vertical="center"/>
    </xf>
    <xf numFmtId="1" fontId="8" fillId="0" borderId="0" xfId="0" applyNumberFormat="1" applyFont="1" applyAlignment="1">
      <alignment vertical="center"/>
    </xf>
    <xf numFmtId="1" fontId="8" fillId="0" borderId="0" xfId="0" applyNumberFormat="1" applyFont="1" applyBorder="1" applyAlignment="1">
      <alignment vertical="center"/>
    </xf>
    <xf numFmtId="167" fontId="8" fillId="0" borderId="0" xfId="0" applyNumberFormat="1" applyFont="1" applyBorder="1" applyAlignment="1">
      <alignment vertical="center"/>
    </xf>
    <xf numFmtId="167" fontId="8" fillId="0" borderId="0" xfId="0" applyNumberFormat="1" applyFont="1" applyAlignment="1">
      <alignment vertical="center"/>
    </xf>
    <xf numFmtId="0" fontId="8" fillId="0" borderId="13" xfId="0" applyFont="1" applyFill="1" applyBorder="1" applyAlignment="1" applyProtection="1">
      <alignment horizontal="center" vertical="top"/>
      <protection hidden="1"/>
    </xf>
    <xf numFmtId="2" fontId="14" fillId="0" borderId="0" xfId="0" applyNumberFormat="1" applyFont="1" applyBorder="1" applyAlignment="1">
      <alignment vertical="center"/>
    </xf>
    <xf numFmtId="3" fontId="8" fillId="0" borderId="0" xfId="0" applyNumberFormat="1" applyFont="1" applyAlignment="1">
      <alignment horizontal="center" vertical="center"/>
    </xf>
    <xf numFmtId="2" fontId="8" fillId="0" borderId="0" xfId="0" applyNumberFormat="1" applyFont="1" applyBorder="1" applyAlignment="1">
      <alignment vertical="center"/>
    </xf>
    <xf numFmtId="1" fontId="14" fillId="0" borderId="14" xfId="0" applyNumberFormat="1" applyFont="1" applyBorder="1" applyAlignment="1">
      <alignment vertical="center"/>
    </xf>
    <xf numFmtId="2" fontId="8" fillId="0" borderId="15" xfId="0" applyNumberFormat="1" applyFont="1" applyFill="1" applyBorder="1" applyAlignment="1">
      <alignment vertical="center"/>
    </xf>
    <xf numFmtId="1" fontId="0" fillId="0" borderId="0" xfId="0" applyNumberFormat="1" applyFont="1" applyBorder="1" applyAlignment="1">
      <alignment vertical="center"/>
    </xf>
    <xf numFmtId="2" fontId="8" fillId="0" borderId="0" xfId="0" applyNumberFormat="1" applyFont="1" applyFill="1" applyBorder="1" applyAlignment="1">
      <alignment vertical="center"/>
    </xf>
    <xf numFmtId="1" fontId="8" fillId="2" borderId="0" xfId="0" applyNumberFormat="1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167" fontId="8" fillId="0" borderId="0" xfId="1" applyNumberFormat="1" applyFont="1" applyFill="1" applyAlignment="1">
      <alignment horizontal="center" vertical="center"/>
    </xf>
    <xf numFmtId="1" fontId="8" fillId="0" borderId="0" xfId="0" applyNumberFormat="1" applyFont="1" applyAlignment="1">
      <alignment horizontal="right" vertical="center"/>
    </xf>
    <xf numFmtId="167" fontId="8" fillId="0" borderId="0" xfId="1" applyNumberFormat="1" applyFont="1" applyBorder="1" applyAlignment="1">
      <alignment horizontal="center" vertical="center"/>
    </xf>
    <xf numFmtId="2" fontId="6" fillId="0" borderId="0" xfId="0" applyNumberFormat="1" applyFont="1" applyBorder="1" applyAlignment="1">
      <alignment vertical="center"/>
    </xf>
    <xf numFmtId="1" fontId="6" fillId="0" borderId="0" xfId="0" applyNumberFormat="1" applyFont="1" applyBorder="1" applyAlignment="1">
      <alignment vertical="center"/>
    </xf>
    <xf numFmtId="1" fontId="6" fillId="0" borderId="0" xfId="0" applyNumberFormat="1" applyFont="1" applyAlignment="1">
      <alignment vertical="center"/>
    </xf>
    <xf numFmtId="167" fontId="6" fillId="0" borderId="0" xfId="0" applyNumberFormat="1" applyFont="1" applyAlignment="1">
      <alignment vertical="center"/>
    </xf>
    <xf numFmtId="168" fontId="8" fillId="0" borderId="0" xfId="0" applyNumberFormat="1" applyFont="1" applyAlignment="1">
      <alignment vertical="center"/>
    </xf>
    <xf numFmtId="1" fontId="6" fillId="0" borderId="0" xfId="0" applyNumberFormat="1" applyFont="1" applyFill="1" applyAlignment="1">
      <alignment horizontal="left" vertical="center"/>
    </xf>
    <xf numFmtId="167" fontId="15" fillId="0" borderId="0" xfId="1" applyNumberFormat="1" applyFont="1" applyFill="1" applyAlignment="1">
      <alignment vertical="center"/>
    </xf>
    <xf numFmtId="2" fontId="15" fillId="0" borderId="0" xfId="0" applyNumberFormat="1" applyFont="1" applyFill="1" applyBorder="1" applyAlignment="1">
      <alignment vertical="center"/>
    </xf>
    <xf numFmtId="2" fontId="6" fillId="0" borderId="0" xfId="0" applyNumberFormat="1" applyFont="1" applyFill="1" applyBorder="1" applyAlignment="1">
      <alignment horizontal="left" vertical="center"/>
    </xf>
    <xf numFmtId="2" fontId="6" fillId="0" borderId="0" xfId="0" applyNumberFormat="1" applyFont="1" applyFill="1" applyBorder="1" applyAlignment="1">
      <alignment vertical="center"/>
    </xf>
    <xf numFmtId="1" fontId="5" fillId="0" borderId="0" xfId="1" applyNumberFormat="1" applyFont="1" applyBorder="1" applyAlignment="1">
      <alignment horizontal="left" vertical="center"/>
    </xf>
    <xf numFmtId="1" fontId="4" fillId="0" borderId="0" xfId="0" applyNumberFormat="1" applyFont="1" applyAlignment="1">
      <alignment vertical="center"/>
    </xf>
    <xf numFmtId="2" fontId="5" fillId="0" borderId="0" xfId="1" applyNumberFormat="1" applyFont="1" applyBorder="1" applyAlignment="1">
      <alignment horizontal="left" vertical="center"/>
    </xf>
    <xf numFmtId="167" fontId="8" fillId="0" borderId="0" xfId="1" applyNumberFormat="1" applyFont="1" applyBorder="1" applyAlignment="1">
      <alignment vertical="center"/>
    </xf>
    <xf numFmtId="2" fontId="6" fillId="0" borderId="0" xfId="0" applyNumberFormat="1" applyFont="1" applyBorder="1" applyAlignment="1">
      <alignment horizontal="center" vertical="center"/>
    </xf>
    <xf numFmtId="167" fontId="16" fillId="0" borderId="0" xfId="1" applyNumberFormat="1" applyFont="1" applyBorder="1" applyAlignment="1">
      <alignment horizontal="center"/>
    </xf>
    <xf numFmtId="167" fontId="11" fillId="0" borderId="0" xfId="0" applyNumberFormat="1" applyFont="1" applyBorder="1" applyAlignment="1">
      <alignment horizontal="center"/>
    </xf>
    <xf numFmtId="2" fontId="17" fillId="0" borderId="0" xfId="0" applyNumberFormat="1" applyFont="1" applyBorder="1" applyAlignment="1">
      <alignment horizontal="center" vertical="top"/>
    </xf>
    <xf numFmtId="0" fontId="11" fillId="0" borderId="0" xfId="0" applyFont="1" applyBorder="1" applyAlignment="1">
      <alignment horizontal="center"/>
    </xf>
    <xf numFmtId="167" fontId="16" fillId="0" borderId="0" xfId="0" applyNumberFormat="1" applyFont="1" applyBorder="1" applyAlignment="1">
      <alignment horizontal="center"/>
    </xf>
    <xf numFmtId="169" fontId="5" fillId="0" borderId="0" xfId="1" applyNumberFormat="1" applyFont="1" applyBorder="1" applyAlignment="1">
      <alignment horizontal="center" vertical="center"/>
    </xf>
    <xf numFmtId="1" fontId="18" fillId="0" borderId="14" xfId="0" applyNumberFormat="1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" fontId="14" fillId="0" borderId="0" xfId="1" applyNumberFormat="1" applyFont="1" applyFill="1" applyAlignment="1">
      <alignment horizontal="center" vertical="center"/>
    </xf>
    <xf numFmtId="1" fontId="3" fillId="0" borderId="23" xfId="0" applyNumberFormat="1" applyFont="1" applyFill="1" applyBorder="1" applyAlignment="1">
      <alignment horizontal="left" vertical="center"/>
    </xf>
    <xf numFmtId="167" fontId="8" fillId="0" borderId="0" xfId="1" applyNumberFormat="1" applyFont="1" applyFill="1" applyBorder="1" applyAlignment="1">
      <alignment vertical="center"/>
    </xf>
    <xf numFmtId="1" fontId="2" fillId="0" borderId="0" xfId="0" applyNumberFormat="1" applyFont="1" applyFill="1" applyAlignment="1">
      <alignment horizontal="left" vertical="center"/>
    </xf>
    <xf numFmtId="1" fontId="15" fillId="0" borderId="0" xfId="1" applyNumberFormat="1" applyFont="1" applyFill="1" applyAlignment="1">
      <alignment horizontal="left" vertical="center"/>
    </xf>
    <xf numFmtId="1" fontId="5" fillId="0" borderId="0" xfId="1" applyNumberFormat="1" applyFont="1" applyBorder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1" fontId="5" fillId="0" borderId="24" xfId="1" applyNumberFormat="1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2" fontId="6" fillId="0" borderId="0" xfId="0" applyNumberFormat="1" applyFont="1" applyFill="1" applyAlignment="1">
      <alignment horizontal="left" vertical="center"/>
    </xf>
    <xf numFmtId="167" fontId="11" fillId="0" borderId="0" xfId="1" applyNumberFormat="1" applyFont="1" applyFill="1" applyAlignment="1">
      <alignment vertical="center"/>
    </xf>
    <xf numFmtId="1" fontId="20" fillId="0" borderId="0" xfId="0" applyNumberFormat="1" applyFont="1" applyFill="1" applyAlignment="1">
      <alignment horizontal="center" vertical="top"/>
    </xf>
    <xf numFmtId="2" fontId="2" fillId="0" borderId="0" xfId="0" applyNumberFormat="1" applyFont="1" applyFill="1" applyAlignment="1">
      <alignment horizontal="left" vertical="center"/>
    </xf>
    <xf numFmtId="165" fontId="11" fillId="0" borderId="0" xfId="1" applyNumberFormat="1" applyFont="1" applyFill="1" applyAlignment="1">
      <alignment vertical="center"/>
    </xf>
    <xf numFmtId="1" fontId="6" fillId="0" borderId="21" xfId="0" applyNumberFormat="1" applyFont="1" applyFill="1" applyBorder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2" fontId="20" fillId="0" borderId="0" xfId="0" applyNumberFormat="1" applyFont="1" applyFill="1" applyAlignment="1">
      <alignment horizontal="center" vertical="top"/>
    </xf>
    <xf numFmtId="165" fontId="8" fillId="0" borderId="0" xfId="0" applyNumberFormat="1" applyFont="1" applyAlignment="1">
      <alignment vertical="center"/>
    </xf>
    <xf numFmtId="2" fontId="14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horizontal="right" vertical="center"/>
    </xf>
    <xf numFmtId="2" fontId="0" fillId="0" borderId="0" xfId="0" applyNumberFormat="1"/>
    <xf numFmtId="1" fontId="0" fillId="0" borderId="0" xfId="0" applyNumberFormat="1"/>
    <xf numFmtId="1" fontId="6" fillId="0" borderId="0" xfId="0" applyNumberFormat="1" applyFont="1" applyAlignment="1">
      <alignment horizontal="left" vertical="center"/>
    </xf>
    <xf numFmtId="2" fontId="0" fillId="0" borderId="0" xfId="0" applyNumberFormat="1" applyFont="1" applyBorder="1" applyAlignment="1">
      <alignment vertical="center"/>
    </xf>
    <xf numFmtId="0" fontId="0" fillId="0" borderId="0" xfId="0" applyFill="1"/>
    <xf numFmtId="2" fontId="19" fillId="0" borderId="0" xfId="0" applyNumberFormat="1" applyFont="1" applyFill="1" applyBorder="1" applyAlignment="1">
      <alignment horizontal="center" vertical="center"/>
    </xf>
    <xf numFmtId="170" fontId="8" fillId="0" borderId="25" xfId="2" applyNumberFormat="1" applyFont="1" applyBorder="1" applyAlignment="1">
      <alignment vertical="center"/>
    </xf>
    <xf numFmtId="168" fontId="0" fillId="0" borderId="0" xfId="0" applyNumberFormat="1"/>
    <xf numFmtId="167" fontId="0" fillId="0" borderId="0" xfId="0" applyNumberFormat="1"/>
    <xf numFmtId="1" fontId="0" fillId="0" borderId="25" xfId="0" applyNumberFormat="1" applyBorder="1"/>
    <xf numFmtId="167" fontId="0" fillId="0" borderId="0" xfId="1" applyNumberFormat="1" applyFont="1"/>
    <xf numFmtId="165" fontId="0" fillId="0" borderId="0" xfId="1" applyFont="1" applyFill="1"/>
    <xf numFmtId="165" fontId="0" fillId="0" borderId="0" xfId="1" applyFont="1"/>
    <xf numFmtId="0" fontId="0" fillId="2" borderId="0" xfId="0" applyFill="1"/>
    <xf numFmtId="171" fontId="0" fillId="0" borderId="0" xfId="1" applyNumberFormat="1" applyFont="1"/>
    <xf numFmtId="168" fontId="0" fillId="2" borderId="0" xfId="0" applyNumberFormat="1" applyFill="1"/>
    <xf numFmtId="168" fontId="0" fillId="0" borderId="0" xfId="0" applyNumberFormat="1" applyFill="1"/>
    <xf numFmtId="167" fontId="8" fillId="0" borderId="0" xfId="1" applyNumberFormat="1" applyFont="1" applyAlignment="1">
      <alignment horizontal="left" vertical="center"/>
    </xf>
    <xf numFmtId="165" fontId="0" fillId="0" borderId="0" xfId="1" applyNumberFormat="1" applyFont="1"/>
    <xf numFmtId="165" fontId="21" fillId="0" borderId="0" xfId="1" applyFont="1"/>
    <xf numFmtId="165" fontId="22" fillId="0" borderId="0" xfId="1" applyFont="1"/>
    <xf numFmtId="167" fontId="0" fillId="0" borderId="0" xfId="1" applyNumberFormat="1" applyFont="1" applyFill="1"/>
    <xf numFmtId="0" fontId="0" fillId="0" borderId="17" xfId="0" applyBorder="1"/>
    <xf numFmtId="0" fontId="0" fillId="2" borderId="17" xfId="0" applyFill="1" applyBorder="1"/>
    <xf numFmtId="0" fontId="0" fillId="0" borderId="17" xfId="0" applyFill="1" applyBorder="1"/>
    <xf numFmtId="0" fontId="23" fillId="0" borderId="0" xfId="0" applyFont="1" applyFill="1"/>
    <xf numFmtId="165" fontId="23" fillId="0" borderId="17" xfId="1" applyFont="1" applyBorder="1"/>
    <xf numFmtId="165" fontId="23" fillId="0" borderId="0" xfId="1" applyFont="1"/>
    <xf numFmtId="0" fontId="23" fillId="0" borderId="17" xfId="0" applyFont="1" applyFill="1" applyBorder="1"/>
    <xf numFmtId="165" fontId="23" fillId="0" borderId="17" xfId="1" applyFont="1" applyFill="1" applyBorder="1"/>
    <xf numFmtId="165" fontId="23" fillId="0" borderId="0" xfId="1" applyFont="1" applyFill="1"/>
    <xf numFmtId="1" fontId="0" fillId="0" borderId="17" xfId="0" applyNumberFormat="1" applyFill="1" applyBorder="1"/>
    <xf numFmtId="0" fontId="24" fillId="0" borderId="17" xfId="0" applyFont="1" applyFill="1" applyBorder="1"/>
    <xf numFmtId="167" fontId="23" fillId="0" borderId="0" xfId="1" applyNumberFormat="1" applyFont="1" applyFill="1"/>
    <xf numFmtId="2" fontId="0" fillId="0" borderId="17" xfId="0" applyNumberFormat="1" applyFill="1" applyBorder="1"/>
    <xf numFmtId="2" fontId="0" fillId="0" borderId="0" xfId="0" applyNumberFormat="1" applyFill="1"/>
    <xf numFmtId="1" fontId="0" fillId="0" borderId="0" xfId="0" applyNumberFormat="1" applyFill="1"/>
    <xf numFmtId="165" fontId="0" fillId="0" borderId="17" xfId="1" applyFont="1" applyFill="1" applyBorder="1"/>
    <xf numFmtId="2" fontId="23" fillId="0" borderId="17" xfId="1" applyNumberFormat="1" applyFont="1" applyFill="1" applyBorder="1"/>
    <xf numFmtId="165" fontId="23" fillId="0" borderId="0" xfId="1" applyFont="1" applyFill="1" applyBorder="1"/>
    <xf numFmtId="2" fontId="25" fillId="0" borderId="17" xfId="1" applyNumberFormat="1" applyFont="1" applyFill="1" applyBorder="1"/>
    <xf numFmtId="2" fontId="23" fillId="0" borderId="0" xfId="1" applyNumberFormat="1" applyFont="1" applyFill="1"/>
    <xf numFmtId="2" fontId="0" fillId="0" borderId="17" xfId="0" applyNumberFormat="1" applyBorder="1"/>
    <xf numFmtId="165" fontId="0" fillId="0" borderId="17" xfId="1" applyFont="1" applyBorder="1"/>
    <xf numFmtId="165" fontId="0" fillId="0" borderId="17" xfId="0" applyNumberFormat="1" applyBorder="1"/>
    <xf numFmtId="167" fontId="0" fillId="0" borderId="17" xfId="0" applyNumberFormat="1" applyBorder="1"/>
    <xf numFmtId="1" fontId="0" fillId="0" borderId="17" xfId="0" applyNumberFormat="1" applyBorder="1"/>
    <xf numFmtId="172" fontId="0" fillId="0" borderId="17" xfId="0" applyNumberFormat="1" applyBorder="1"/>
    <xf numFmtId="2" fontId="0" fillId="2" borderId="17" xfId="0" applyNumberFormat="1" applyFill="1" applyBorder="1"/>
    <xf numFmtId="0" fontId="0" fillId="0" borderId="17" xfId="0" applyBorder="1" applyAlignment="1">
      <alignment horizontal="center" vertical="top"/>
    </xf>
    <xf numFmtId="0" fontId="0" fillId="0" borderId="17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2" fontId="0" fillId="0" borderId="17" xfId="0" applyNumberFormat="1" applyFill="1" applyBorder="1" applyAlignment="1">
      <alignment horizontal="center" vertical="center"/>
    </xf>
    <xf numFmtId="14" fontId="0" fillId="0" borderId="17" xfId="0" applyNumberFormat="1" applyBorder="1"/>
    <xf numFmtId="167" fontId="0" fillId="0" borderId="0" xfId="0" applyNumberFormat="1" applyFill="1"/>
    <xf numFmtId="167" fontId="0" fillId="0" borderId="17" xfId="1" applyNumberFormat="1" applyFont="1" applyFill="1" applyBorder="1" applyAlignment="1">
      <alignment horizontal="center" vertical="center"/>
    </xf>
    <xf numFmtId="165" fontId="0" fillId="0" borderId="17" xfId="1" applyFont="1" applyFill="1" applyBorder="1" applyAlignment="1">
      <alignment horizontal="center" vertical="top"/>
    </xf>
    <xf numFmtId="165" fontId="0" fillId="0" borderId="17" xfId="1" applyFont="1" applyFill="1" applyBorder="1" applyAlignment="1">
      <alignment horizontal="center" vertical="center"/>
    </xf>
    <xf numFmtId="2" fontId="26" fillId="0" borderId="1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top"/>
    </xf>
    <xf numFmtId="167" fontId="0" fillId="0" borderId="0" xfId="0" applyNumberFormat="1" applyAlignment="1">
      <alignment horizontal="center" vertical="top"/>
    </xf>
    <xf numFmtId="165" fontId="8" fillId="0" borderId="0" xfId="1" applyNumberFormat="1" applyFont="1" applyBorder="1" applyAlignment="1">
      <alignment horizontal="center" vertical="center"/>
    </xf>
    <xf numFmtId="165" fontId="8" fillId="0" borderId="0" xfId="1" applyNumberFormat="1" applyFont="1" applyBorder="1" applyAlignment="1">
      <alignment vertical="center"/>
    </xf>
    <xf numFmtId="14" fontId="0" fillId="0" borderId="17" xfId="0" applyNumberFormat="1" applyFill="1" applyBorder="1"/>
    <xf numFmtId="165" fontId="0" fillId="0" borderId="17" xfId="1" applyNumberFormat="1" applyFont="1" applyFill="1" applyBorder="1" applyAlignment="1">
      <alignment horizontal="center" vertical="center"/>
    </xf>
    <xf numFmtId="2" fontId="0" fillId="3" borderId="17" xfId="0" applyNumberFormat="1" applyFill="1" applyBorder="1" applyAlignment="1">
      <alignment horizontal="center" vertical="center"/>
    </xf>
    <xf numFmtId="167" fontId="8" fillId="0" borderId="20" xfId="1" applyNumberFormat="1" applyFont="1" applyFill="1" applyBorder="1" applyAlignment="1">
      <alignment horizontal="center" vertical="center"/>
    </xf>
    <xf numFmtId="167" fontId="8" fillId="0" borderId="19" xfId="1" applyNumberFormat="1" applyFont="1" applyFill="1" applyBorder="1" applyAlignment="1">
      <alignment horizontal="center" vertical="center"/>
    </xf>
    <xf numFmtId="165" fontId="8" fillId="0" borderId="0" xfId="1" applyNumberFormat="1" applyFont="1" applyAlignment="1">
      <alignment horizontal="left" vertical="center"/>
    </xf>
    <xf numFmtId="164" fontId="27" fillId="0" borderId="22" xfId="1" applyNumberFormat="1" applyFont="1" applyFill="1" applyBorder="1" applyAlignment="1">
      <alignment horizontal="center" vertical="center"/>
    </xf>
    <xf numFmtId="3" fontId="28" fillId="0" borderId="10" xfId="0" applyNumberFormat="1" applyFont="1" applyFill="1" applyBorder="1" applyAlignment="1">
      <alignment horizontal="center" vertical="center"/>
    </xf>
    <xf numFmtId="2" fontId="29" fillId="0" borderId="12" xfId="0" applyNumberFormat="1" applyFont="1" applyFill="1" applyBorder="1" applyAlignment="1">
      <alignment horizontal="center" vertical="center"/>
    </xf>
    <xf numFmtId="3" fontId="28" fillId="0" borderId="11" xfId="0" applyNumberFormat="1" applyFont="1" applyFill="1" applyBorder="1" applyAlignment="1">
      <alignment horizontal="center" vertical="center"/>
    </xf>
    <xf numFmtId="166" fontId="28" fillId="0" borderId="16" xfId="0" applyNumberFormat="1" applyFont="1" applyFill="1" applyBorder="1" applyAlignment="1">
      <alignment horizontal="center" vertical="center"/>
    </xf>
    <xf numFmtId="3" fontId="28" fillId="0" borderId="18" xfId="0" applyNumberFormat="1" applyFont="1" applyFill="1" applyBorder="1" applyAlignment="1">
      <alignment horizontal="center" vertical="center"/>
    </xf>
    <xf numFmtId="167" fontId="13" fillId="0" borderId="0" xfId="1" applyNumberFormat="1" applyFont="1"/>
    <xf numFmtId="1" fontId="6" fillId="0" borderId="0" xfId="0" applyNumberFormat="1" applyFont="1" applyAlignment="1">
      <alignment horizontal="center" vertical="center"/>
    </xf>
    <xf numFmtId="2" fontId="1" fillId="0" borderId="0" xfId="0" applyNumberFormat="1" applyFont="1" applyFill="1" applyAlignment="1">
      <alignment horizontal="center" vertical="top"/>
    </xf>
    <xf numFmtId="1" fontId="30" fillId="0" borderId="0" xfId="0" applyNumberFormat="1" applyFont="1" applyFill="1" applyAlignment="1">
      <alignment horizontal="center"/>
    </xf>
    <xf numFmtId="165" fontId="8" fillId="0" borderId="0" xfId="1" applyNumberFormat="1" applyFont="1" applyAlignment="1">
      <alignment vertical="center"/>
    </xf>
    <xf numFmtId="1" fontId="8" fillId="0" borderId="0" xfId="0" applyNumberFormat="1" applyFont="1" applyFill="1" applyBorder="1" applyAlignment="1">
      <alignment vertical="center"/>
    </xf>
    <xf numFmtId="167" fontId="14" fillId="0" borderId="0" xfId="1" applyNumberFormat="1" applyFont="1" applyAlignment="1">
      <alignment vertical="center"/>
    </xf>
    <xf numFmtId="167" fontId="14" fillId="0" borderId="0" xfId="1" applyNumberFormat="1" applyFont="1" applyFill="1" applyAlignment="1">
      <alignment vertical="center"/>
    </xf>
    <xf numFmtId="165" fontId="14" fillId="0" borderId="0" xfId="1" applyNumberFormat="1" applyFont="1" applyFill="1" applyAlignment="1">
      <alignment vertical="center"/>
    </xf>
    <xf numFmtId="165" fontId="8" fillId="0" borderId="0" xfId="1" applyFont="1" applyAlignment="1">
      <alignment vertical="center"/>
    </xf>
    <xf numFmtId="167" fontId="8" fillId="0" borderId="0" xfId="1" applyNumberFormat="1" applyFont="1" applyAlignment="1">
      <alignment vertical="center"/>
    </xf>
    <xf numFmtId="1" fontId="31" fillId="0" borderId="0" xfId="0" applyNumberFormat="1" applyFont="1" applyFill="1" applyBorder="1" applyAlignment="1">
      <alignment vertical="center"/>
    </xf>
    <xf numFmtId="1" fontId="32" fillId="0" borderId="0" xfId="0" applyNumberFormat="1" applyFont="1" applyFill="1" applyAlignment="1">
      <alignment horizontal="center" vertical="top"/>
    </xf>
    <xf numFmtId="2" fontId="32" fillId="0" borderId="0" xfId="0" applyNumberFormat="1" applyFont="1" applyFill="1" applyAlignment="1">
      <alignment horizontal="center" vertical="top"/>
    </xf>
    <xf numFmtId="20" fontId="0" fillId="0" borderId="0" xfId="0" applyNumberFormat="1"/>
    <xf numFmtId="17" fontId="0" fillId="0" borderId="0" xfId="0" applyNumberFormat="1"/>
    <xf numFmtId="16" fontId="0" fillId="0" borderId="0" xfId="0" applyNumberFormat="1"/>
    <xf numFmtId="20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17" fontId="0" fillId="0" borderId="0" xfId="0" applyNumberFormat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12"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ont>
        <strike val="0"/>
        <outline val="0"/>
        <shadow val="0"/>
        <u val="none"/>
        <vertAlign val="baseline"/>
        <sz val="8"/>
        <name val="Lucida Bright"/>
        <scheme val="none"/>
      </font>
      <numFmt numFmtId="3" formatCode="#,##0"/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Lucida Bright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Lucida Bright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Lucida Bright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Lucida Bright"/>
        <scheme val="none"/>
      </font>
      <numFmt numFmtId="166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double">
          <color theme="8" tint="-0.24994659260841701"/>
        </left>
        <right style="double">
          <color theme="8" tint="-0.24994659260841701"/>
        </right>
        <top style="double">
          <color theme="8" tint="-0.24994659260841701"/>
        </top>
        <bottom style="double">
          <color theme="8" tint="-0.24994659260841701"/>
        </bottom>
      </border>
    </dxf>
    <dxf>
      <font>
        <strike val="0"/>
        <outline val="0"/>
        <shadow val="0"/>
        <u val="none"/>
        <vertAlign val="baseline"/>
        <sz val="8"/>
        <name val="Lucida Bright"/>
        <scheme val="none"/>
      </font>
      <alignment vertical="center" textRotation="0" wrapText="0" indent="0" justifyLastLine="0" shrinkToFit="0" readingOrder="0"/>
    </dxf>
    <dxf>
      <border>
        <bottom style="hair">
          <color auto="1"/>
        </bottom>
      </border>
    </dxf>
    <dxf>
      <font>
        <strike val="0"/>
        <outline val="0"/>
        <shadow val="0"/>
        <vertAlign val="baseline"/>
        <name val="Lucida Bright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</dxfs>
  <tableStyles count="0" defaultTableStyle="TableStyleMedium2" defaultPivotStyle="PivotStyleMedium9"/>
  <colors>
    <mruColors>
      <color rgb="FF0080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5:F54" totalsRowShown="0" headerRowDxfId="11" dataDxfId="9" headerRowBorderDxfId="10" tableBorderDxfId="8" totalsRowBorderDxfId="7">
  <tableColumns count="5">
    <tableColumn id="1" xr3:uid="{00000000-0010-0000-0000-000001000000}" name="N" dataDxfId="6"/>
    <tableColumn id="2" xr3:uid="{00000000-0010-0000-0000-000002000000}" name="Сумма stavki" dataDxfId="5"/>
    <tableColumn id="3" xr3:uid="{00000000-0010-0000-0000-000003000000}" name="Коэффициент" dataDxfId="4"/>
    <tableColumn id="4" xr3:uid="{00000000-0010-0000-0000-000004000000}" name="Predpologaemi viigrish" dataDxfId="3"/>
    <tableColumn id="5" xr3:uid="{00000000-0010-0000-0000-000005000000}" name="Столбец1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LCULATOR"/>
  <dimension ref="A1:Y631"/>
  <sheetViews>
    <sheetView showGridLines="0" showRowColHeaders="0" zoomScale="80" zoomScaleNormal="80" workbookViewId="0">
      <pane xSplit="9" ySplit="5" topLeftCell="J6" activePane="bottomRight" state="frozen"/>
      <selection activeCell="G22" sqref="G22"/>
      <selection pane="topRight" activeCell="G22" sqref="G22"/>
      <selection pane="bottomLeft" activeCell="G22" sqref="G22"/>
      <selection pane="bottomRight" activeCell="E20" sqref="E20"/>
    </sheetView>
  </sheetViews>
  <sheetFormatPr defaultColWidth="9.140625" defaultRowHeight="14.25" x14ac:dyDescent="0.25"/>
  <cols>
    <col min="1" max="1" width="4.7109375" style="4" customWidth="1"/>
    <col min="2" max="2" width="4.5703125" style="4" customWidth="1"/>
    <col min="3" max="3" width="16.5703125" style="4" customWidth="1"/>
    <col min="4" max="4" width="15.85546875" style="4" customWidth="1"/>
    <col min="5" max="5" width="11.85546875" style="4" customWidth="1"/>
    <col min="6" max="6" width="11.42578125" style="4" bestFit="1" customWidth="1"/>
    <col min="7" max="7" width="17.28515625" style="4" bestFit="1" customWidth="1"/>
    <col min="8" max="8" width="15.7109375" style="4" bestFit="1" customWidth="1"/>
    <col min="9" max="9" width="15.5703125" style="5" bestFit="1" customWidth="1"/>
    <col min="10" max="10" width="15.85546875" style="5" bestFit="1" customWidth="1"/>
    <col min="11" max="11" width="13.42578125" style="4" bestFit="1" customWidth="1"/>
    <col min="12" max="12" width="15.85546875" style="4" bestFit="1" customWidth="1"/>
    <col min="13" max="13" width="18" style="4" bestFit="1" customWidth="1"/>
    <col min="14" max="14" width="19.28515625" style="4" bestFit="1" customWidth="1"/>
    <col min="15" max="15" width="11.42578125" style="4" bestFit="1" customWidth="1"/>
    <col min="16" max="16" width="15.7109375" style="4" bestFit="1" customWidth="1"/>
    <col min="17" max="17" width="12.7109375" style="4" bestFit="1" customWidth="1"/>
    <col min="18" max="18" width="11.28515625" style="4" bestFit="1" customWidth="1"/>
    <col min="19" max="19" width="13.140625" style="4" bestFit="1" customWidth="1"/>
    <col min="20" max="20" width="10.140625" style="4" bestFit="1" customWidth="1"/>
    <col min="21" max="16384" width="9.140625" style="4"/>
  </cols>
  <sheetData>
    <row r="1" spans="1:20" ht="17.25" thickTop="1" thickBot="1" x14ac:dyDescent="0.25">
      <c r="B1" s="8" t="s">
        <v>0</v>
      </c>
      <c r="C1" s="9"/>
      <c r="D1" s="10">
        <v>0.5</v>
      </c>
      <c r="E1" s="24">
        <f>E4</f>
        <v>0</v>
      </c>
      <c r="F1" s="156" t="e">
        <f>#REF!</f>
        <v>#REF!</v>
      </c>
      <c r="G1" s="149"/>
      <c r="H1" s="27">
        <f>G5*O5-G5</f>
        <v>8016.08</v>
      </c>
      <c r="I1" s="33">
        <f>H1+I5</f>
        <v>-26940.639999999985</v>
      </c>
      <c r="J1" s="69" t="s">
        <v>13</v>
      </c>
      <c r="K1" s="15"/>
      <c r="L1" s="28">
        <f>I2/2</f>
        <v>5.4375</v>
      </c>
      <c r="M1" s="142"/>
      <c r="N1" s="143"/>
      <c r="O1" s="78"/>
      <c r="P1" s="24"/>
    </row>
    <row r="2" spans="1:20" ht="15" customHeight="1" thickBot="1" x14ac:dyDescent="0.3">
      <c r="B2" s="11" t="s">
        <v>1</v>
      </c>
      <c r="C2" s="12"/>
      <c r="D2" s="13">
        <v>5000</v>
      </c>
      <c r="E2" s="21"/>
      <c r="F2" s="162"/>
      <c r="G2" s="149"/>
      <c r="H2" s="160"/>
      <c r="I2" s="30">
        <f>(H5+G5)/G5</f>
        <v>10.875</v>
      </c>
      <c r="J2" s="59">
        <f>I4-C4+50000</f>
        <v>183257</v>
      </c>
      <c r="K2" s="21">
        <f>J2-50000</f>
        <v>133257</v>
      </c>
      <c r="L2" s="22"/>
      <c r="M2" s="37"/>
      <c r="N2" s="23"/>
      <c r="O2" s="15"/>
      <c r="P2" s="51"/>
      <c r="Q2" s="15"/>
      <c r="S2" s="24"/>
    </row>
    <row r="3" spans="1:20" ht="15.75" hidden="1" thickTop="1" thickBot="1" x14ac:dyDescent="0.3">
      <c r="B3" s="7" t="s">
        <v>4</v>
      </c>
      <c r="F3" s="17"/>
      <c r="G3" s="98"/>
      <c r="H3" s="18"/>
      <c r="I3" s="26"/>
      <c r="J3" s="19"/>
      <c r="K3" s="36"/>
      <c r="L3" s="22"/>
      <c r="M3" s="37"/>
      <c r="N3" s="5"/>
    </row>
    <row r="4" spans="1:20" ht="16.5" thickTop="1" thickBot="1" x14ac:dyDescent="0.25">
      <c r="C4" s="14">
        <f>SUM(Table1[Сумма stavki])</f>
        <v>0</v>
      </c>
      <c r="D4" s="21" t="e">
        <f>AVERAGE(C6:C50)</f>
        <v>#DIV/0!</v>
      </c>
      <c r="E4" s="21">
        <f>SUM(E12:E54)</f>
        <v>0</v>
      </c>
      <c r="F4" s="20"/>
      <c r="G4" s="98"/>
      <c r="H4" s="98"/>
      <c r="I4" s="29">
        <f>H55-G55</f>
        <v>133257</v>
      </c>
      <c r="J4" s="79">
        <f>COUNT(G6:H54)/7</f>
        <v>6.4285714285714288</v>
      </c>
      <c r="K4" s="80"/>
      <c r="L4" s="22"/>
      <c r="M4" s="37"/>
      <c r="N4" s="56" t="s">
        <v>10</v>
      </c>
      <c r="O4" s="54" t="s">
        <v>9</v>
      </c>
      <c r="P4" s="24"/>
      <c r="Q4" s="78"/>
      <c r="S4" s="24"/>
    </row>
    <row r="5" spans="1:20" s="6" customFormat="1" ht="33" customHeight="1" x14ac:dyDescent="0.25">
      <c r="B5" s="1" t="s">
        <v>3</v>
      </c>
      <c r="C5" s="2" t="s">
        <v>5</v>
      </c>
      <c r="D5" s="3" t="s">
        <v>2</v>
      </c>
      <c r="E5" s="25" t="s">
        <v>6</v>
      </c>
      <c r="F5" s="16" t="s">
        <v>7</v>
      </c>
      <c r="G5" s="159">
        <f>AVERAGE(G6:G54)</f>
        <v>1033</v>
      </c>
      <c r="H5" s="159">
        <f>AVERAGE(H6:H54)</f>
        <v>10200.875</v>
      </c>
      <c r="I5" s="35">
        <f>SUM(I6:I55)</f>
        <v>-34956.719999999987</v>
      </c>
      <c r="J5" s="76">
        <f>(J2-50000)/J4*2</f>
        <v>41457.73333333333</v>
      </c>
      <c r="K5" s="22"/>
      <c r="L5" s="57" t="s">
        <v>11</v>
      </c>
      <c r="M5" s="53" t="s">
        <v>8</v>
      </c>
      <c r="N5" s="55">
        <f>AVERAGE(N6:N9)</f>
        <v>4.38</v>
      </c>
      <c r="O5" s="55">
        <f>AVERAGE(O6:O9)</f>
        <v>8.76</v>
      </c>
      <c r="P5" s="55">
        <f>O5/2</f>
        <v>4.38</v>
      </c>
    </row>
    <row r="6" spans="1:20" ht="15" x14ac:dyDescent="0.25">
      <c r="A6">
        <v>1</v>
      </c>
      <c r="B6" s="154"/>
      <c r="C6" s="151"/>
      <c r="D6" s="152"/>
      <c r="E6" s="155"/>
      <c r="F6" s="153"/>
      <c r="G6" s="148">
        <v>1033</v>
      </c>
      <c r="H6" s="147"/>
      <c r="I6" s="63" t="str">
        <f>IF(H6&gt;0,SUM(H$1-H6),"")</f>
        <v/>
      </c>
      <c r="J6" s="61"/>
      <c r="K6" s="43"/>
      <c r="L6" s="75">
        <f>Table1[[#This Row],[Сумма stavki]]-G$5</f>
        <v>-1033</v>
      </c>
      <c r="M6" s="58">
        <f>Table1[[#This Row],[Сумма stavki]]*2</f>
        <v>0</v>
      </c>
      <c r="N6" s="86">
        <v>4.38</v>
      </c>
      <c r="O6" s="52">
        <f>N6*2</f>
        <v>8.76</v>
      </c>
      <c r="P6" s="157">
        <f>(Table1[[#This Row],[Сумма stavki]]*1)</f>
        <v>0</v>
      </c>
      <c r="Q6" s="83">
        <f>P6*2</f>
        <v>0</v>
      </c>
      <c r="R6" s="166">
        <f>Table1[[#This Row],[Сумма stavki]]*3</f>
        <v>0</v>
      </c>
    </row>
    <row r="7" spans="1:20" ht="15" x14ac:dyDescent="0.25">
      <c r="A7" s="85">
        <v>2</v>
      </c>
      <c r="B7" s="154"/>
      <c r="C7" s="151"/>
      <c r="D7" s="152"/>
      <c r="E7" s="155"/>
      <c r="F7" s="153"/>
      <c r="G7" s="148">
        <v>1033</v>
      </c>
      <c r="H7" s="147"/>
      <c r="I7" s="63" t="str">
        <f>IF(H7&gt;0,SUM(H$1-H7),"")</f>
        <v/>
      </c>
      <c r="J7" s="61"/>
      <c r="K7" s="43"/>
      <c r="L7" s="75">
        <f>Table1[[#This Row],[Сумма stavki]]-G$5+Table1[[#This Row],[Сумма stavki]]</f>
        <v>-1033</v>
      </c>
      <c r="M7" s="58">
        <f>Table1[[#This Row],[Сумма stavki]]*2</f>
        <v>0</v>
      </c>
      <c r="N7" s="86"/>
      <c r="O7" s="52"/>
      <c r="P7" s="157">
        <f>(Table1[[#This Row],[Сумма stavki]]*1)</f>
        <v>0</v>
      </c>
      <c r="Q7" s="83">
        <f t="shared" ref="Q7:Q31" si="0">P7*2</f>
        <v>0</v>
      </c>
      <c r="R7" s="166">
        <f>Table1[[#This Row],[Сумма stavki]]*3</f>
        <v>0</v>
      </c>
    </row>
    <row r="8" spans="1:20" ht="15" x14ac:dyDescent="0.25">
      <c r="A8" s="85">
        <v>3</v>
      </c>
      <c r="B8" s="154"/>
      <c r="C8" s="151"/>
      <c r="D8" s="152"/>
      <c r="E8" s="155"/>
      <c r="F8" s="153"/>
      <c r="G8" s="148">
        <v>1033</v>
      </c>
      <c r="H8" s="147"/>
      <c r="I8" s="63" t="str">
        <f t="shared" ref="I8:I45" si="1">IF(H8&gt;0,SUM(H$1-H8),"")</f>
        <v/>
      </c>
      <c r="J8" s="61"/>
      <c r="K8" s="43"/>
      <c r="L8" s="75">
        <f>Table1[[#This Row],[Сумма stavki]]-G$5+Table1[[#This Row],[Сумма stavki]]</f>
        <v>-1033</v>
      </c>
      <c r="M8" s="58">
        <f>Table1[[#This Row],[Сумма stavki]]*2</f>
        <v>0</v>
      </c>
      <c r="N8" s="86"/>
      <c r="O8" s="52"/>
      <c r="P8" s="157">
        <f>(Table1[[#This Row],[Сумма stavki]]*1)</f>
        <v>0</v>
      </c>
      <c r="Q8" s="83">
        <f t="shared" si="0"/>
        <v>0</v>
      </c>
      <c r="R8" s="166">
        <f>Table1[[#This Row],[Сумма stavki]]*3</f>
        <v>0</v>
      </c>
    </row>
    <row r="9" spans="1:20" ht="15" x14ac:dyDescent="0.25">
      <c r="A9" s="85">
        <v>4</v>
      </c>
      <c r="B9" s="154"/>
      <c r="C9" s="151"/>
      <c r="D9" s="152"/>
      <c r="E9" s="155"/>
      <c r="F9" s="153"/>
      <c r="G9" s="148"/>
      <c r="H9" s="147">
        <v>8791</v>
      </c>
      <c r="I9" s="63">
        <f t="shared" si="1"/>
        <v>-774.92000000000007</v>
      </c>
      <c r="J9" s="61"/>
      <c r="K9" s="43"/>
      <c r="L9" s="75">
        <f>Table1[[#This Row],[Сумма stavki]]-G$5+Table1[[#This Row],[Сумма stavki]]</f>
        <v>-1033</v>
      </c>
      <c r="M9" s="58">
        <f>Table1[[#This Row],[Сумма stavki]]*2</f>
        <v>0</v>
      </c>
      <c r="N9" s="86"/>
      <c r="O9" s="52"/>
      <c r="P9" s="157">
        <f>(Table1[[#This Row],[Сумма stavki]]*1)</f>
        <v>0</v>
      </c>
      <c r="Q9" s="83">
        <f t="shared" si="0"/>
        <v>0</v>
      </c>
      <c r="R9" s="166">
        <f>Table1[[#This Row],[Сумма stavki]]*3</f>
        <v>0</v>
      </c>
    </row>
    <row r="10" spans="1:20" ht="15" x14ac:dyDescent="0.25">
      <c r="A10" s="85">
        <f>A9+1</f>
        <v>5</v>
      </c>
      <c r="B10" s="154"/>
      <c r="C10" s="151"/>
      <c r="D10" s="152"/>
      <c r="E10" s="155"/>
      <c r="F10" s="153"/>
      <c r="G10" s="148"/>
      <c r="H10" s="147">
        <v>8017</v>
      </c>
      <c r="I10" s="63">
        <f t="shared" si="1"/>
        <v>-0.92000000000007276</v>
      </c>
      <c r="J10" s="61"/>
      <c r="K10" s="43"/>
      <c r="L10" s="75">
        <f>Table1[[#This Row],[Сумма stavki]]-G$5+Table1[[#This Row],[Сумма stavki]]</f>
        <v>-1033</v>
      </c>
      <c r="M10" s="58">
        <f>Table1[[#This Row],[Сумма stavki]]*2</f>
        <v>0</v>
      </c>
      <c r="N10" s="86"/>
      <c r="O10" s="52"/>
      <c r="P10" s="157">
        <f>(Table1[[#This Row],[Сумма stavki]]*1)</f>
        <v>0</v>
      </c>
      <c r="Q10" s="83">
        <f t="shared" si="0"/>
        <v>0</v>
      </c>
      <c r="R10" s="166">
        <f>Table1[[#This Row],[Сумма stavki]]*3</f>
        <v>0</v>
      </c>
    </row>
    <row r="11" spans="1:20" ht="15" x14ac:dyDescent="0.25">
      <c r="A11" s="85">
        <f>A10+1</f>
        <v>6</v>
      </c>
      <c r="B11" s="154"/>
      <c r="C11" s="151"/>
      <c r="D11" s="152"/>
      <c r="E11" s="155"/>
      <c r="F11" s="153"/>
      <c r="G11" s="148"/>
      <c r="H11" s="147">
        <v>8640</v>
      </c>
      <c r="I11" s="63">
        <f t="shared" ref="I11:I16" si="2">IF(H11&gt;0,SUM(H$1-H11),"")</f>
        <v>-623.92000000000007</v>
      </c>
      <c r="J11" s="61"/>
      <c r="K11" s="43"/>
      <c r="L11" s="75">
        <f>Table1[[#This Row],[Сумма stavki]]-G$5+Table1[[#This Row],[Сумма stavki]]</f>
        <v>-1033</v>
      </c>
      <c r="M11" s="58">
        <f>Table1[[#This Row],[Сумма stavki]]*2</f>
        <v>0</v>
      </c>
      <c r="N11" s="86"/>
      <c r="O11" s="52"/>
      <c r="P11" s="157">
        <f>(Table1[[#This Row],[Сумма stavki]]*1)</f>
        <v>0</v>
      </c>
      <c r="Q11" s="83">
        <f t="shared" si="0"/>
        <v>0</v>
      </c>
      <c r="R11" s="166">
        <f>Table1[[#This Row],[Сумма stavki]]*3</f>
        <v>0</v>
      </c>
    </row>
    <row r="12" spans="1:20" ht="15" x14ac:dyDescent="0.25">
      <c r="A12" s="85">
        <f>A11+1</f>
        <v>7</v>
      </c>
      <c r="B12" s="154"/>
      <c r="C12" s="151"/>
      <c r="D12" s="152"/>
      <c r="E12" s="155"/>
      <c r="F12" s="153"/>
      <c r="G12" s="148">
        <v>1033</v>
      </c>
      <c r="H12" s="147"/>
      <c r="I12" s="63" t="str">
        <f t="shared" si="2"/>
        <v/>
      </c>
      <c r="J12" s="61"/>
      <c r="K12" s="43"/>
      <c r="L12" s="75">
        <f>Table1[[#This Row],[Сумма stavki]]-G$5+Table1[[#This Row],[Сумма stavki]]</f>
        <v>-1033</v>
      </c>
      <c r="M12" s="58">
        <f>Table1[[#This Row],[Сумма stavki]]*2</f>
        <v>0</v>
      </c>
      <c r="N12" s="86"/>
      <c r="O12" s="52"/>
      <c r="P12" s="157">
        <f>(Table1[[#This Row],[Сумма stavki]]*1)</f>
        <v>0</v>
      </c>
      <c r="Q12" s="83">
        <f t="shared" si="0"/>
        <v>0</v>
      </c>
      <c r="R12" s="166">
        <f>Table1[[#This Row],[Сумма stavki]]*3</f>
        <v>0</v>
      </c>
    </row>
    <row r="13" spans="1:20" ht="15" x14ac:dyDescent="0.25">
      <c r="A13" s="85">
        <f>A12+1</f>
        <v>8</v>
      </c>
      <c r="B13" s="154"/>
      <c r="C13" s="151"/>
      <c r="D13" s="152"/>
      <c r="E13" s="155"/>
      <c r="F13" s="153"/>
      <c r="G13" s="148">
        <v>1033</v>
      </c>
      <c r="H13" s="147"/>
      <c r="I13" s="63" t="str">
        <f t="shared" si="2"/>
        <v/>
      </c>
      <c r="J13" s="61"/>
      <c r="K13" s="43"/>
      <c r="L13" s="75">
        <f>Table1[[#This Row],[Сумма stavki]]-G$5+Table1[[#This Row],[Сумма stavki]]</f>
        <v>-1033</v>
      </c>
      <c r="M13" s="58">
        <f>Table1[[#This Row],[Сумма stavki]]*2</f>
        <v>0</v>
      </c>
      <c r="N13" s="86"/>
      <c r="O13" s="52"/>
      <c r="P13" s="157">
        <f>(Table1[[#This Row],[Сумма stavki]]*1)</f>
        <v>0</v>
      </c>
      <c r="Q13" s="83">
        <f t="shared" si="0"/>
        <v>0</v>
      </c>
      <c r="R13" s="166">
        <f>Table1[[#This Row],[Сумма stavki]]*3</f>
        <v>0</v>
      </c>
    </row>
    <row r="14" spans="1:20" ht="15.75" thickBot="1" x14ac:dyDescent="0.3">
      <c r="A14" s="85">
        <f t="shared" ref="A14:A44" si="3">A13+1</f>
        <v>9</v>
      </c>
      <c r="B14" s="154"/>
      <c r="C14" s="151"/>
      <c r="D14" s="152"/>
      <c r="E14" s="155"/>
      <c r="F14" s="153"/>
      <c r="G14" s="148">
        <v>1033</v>
      </c>
      <c r="H14" s="147"/>
      <c r="I14" s="63" t="str">
        <f t="shared" si="2"/>
        <v/>
      </c>
      <c r="J14" s="61"/>
      <c r="K14" s="43"/>
      <c r="L14" s="75">
        <f>Table1[[#This Row],[Сумма stavki]]-G$5+Table1[[#This Row],[Сумма stavki]]</f>
        <v>-1033</v>
      </c>
      <c r="M14" s="58">
        <f>Table1[[#This Row],[Сумма stavki]]*2</f>
        <v>0</v>
      </c>
      <c r="N14" s="86"/>
      <c r="O14" s="52"/>
      <c r="P14" s="157">
        <f>(Table1[[#This Row],[Сумма stavki]]*1)</f>
        <v>0</v>
      </c>
      <c r="Q14" s="83">
        <f t="shared" si="0"/>
        <v>0</v>
      </c>
      <c r="R14" s="166">
        <f>Table1[[#This Row],[Сумма stavki]]*3</f>
        <v>0</v>
      </c>
      <c r="S14" s="24"/>
      <c r="T14" s="24"/>
    </row>
    <row r="15" spans="1:20" ht="15.75" thickBot="1" x14ac:dyDescent="0.3">
      <c r="A15" s="85">
        <f t="shared" si="3"/>
        <v>10</v>
      </c>
      <c r="B15" s="154"/>
      <c r="C15" s="151"/>
      <c r="D15" s="152"/>
      <c r="E15" s="155"/>
      <c r="F15" s="153"/>
      <c r="G15" s="148">
        <v>1033</v>
      </c>
      <c r="H15" s="147"/>
      <c r="I15" s="63" t="str">
        <f t="shared" si="2"/>
        <v/>
      </c>
      <c r="J15" s="150">
        <f>SUM(J6:K14)</f>
        <v>0</v>
      </c>
      <c r="K15" s="62" t="s">
        <v>12</v>
      </c>
      <c r="L15" s="75">
        <f>Table1[[#This Row],[Сумма stavki]]-G$5+Table1[[#This Row],[Сумма stavki]]</f>
        <v>-1033</v>
      </c>
      <c r="M15" s="58">
        <f>Table1[[#This Row],[Сумма stavki]]*2</f>
        <v>0</v>
      </c>
      <c r="N15" s="86"/>
      <c r="O15" s="52"/>
      <c r="P15" s="157">
        <f>(Table1[[#This Row],[Сумма stavki]]*1)</f>
        <v>0</v>
      </c>
      <c r="Q15" s="83">
        <f t="shared" si="0"/>
        <v>0</v>
      </c>
      <c r="R15" s="166">
        <f>Table1[[#This Row],[Сумма stavki]]*3</f>
        <v>0</v>
      </c>
      <c r="S15" s="165"/>
    </row>
    <row r="16" spans="1:20" ht="15" x14ac:dyDescent="0.25">
      <c r="A16" s="85">
        <f t="shared" si="3"/>
        <v>11</v>
      </c>
      <c r="B16" s="154"/>
      <c r="C16" s="151"/>
      <c r="D16" s="152"/>
      <c r="E16" s="155"/>
      <c r="F16" s="153"/>
      <c r="G16" s="148"/>
      <c r="H16" s="147">
        <v>11920</v>
      </c>
      <c r="I16" s="63">
        <f t="shared" si="2"/>
        <v>-3903.92</v>
      </c>
      <c r="J16" s="71"/>
      <c r="K16" s="72"/>
      <c r="L16" s="75">
        <f>Table1[[#This Row],[Сумма stavki]]-G$5+Table1[[#This Row],[Сумма stavki]]</f>
        <v>-1033</v>
      </c>
      <c r="M16" s="58">
        <f>Table1[[#This Row],[Сумма stavki]]*2</f>
        <v>0</v>
      </c>
      <c r="N16" s="86"/>
      <c r="O16" s="52"/>
      <c r="P16" s="157">
        <f>(Table1[[#This Row],[Сумма stavki]]*1)</f>
        <v>0</v>
      </c>
      <c r="Q16" s="83">
        <f t="shared" si="0"/>
        <v>0</v>
      </c>
      <c r="R16" s="166">
        <f>Table1[[#This Row],[Сумма stavki]]*3</f>
        <v>0</v>
      </c>
      <c r="S16" s="165"/>
    </row>
    <row r="17" spans="1:19" ht="15" x14ac:dyDescent="0.25">
      <c r="A17" s="85">
        <f t="shared" si="3"/>
        <v>12</v>
      </c>
      <c r="B17" s="154"/>
      <c r="C17" s="151"/>
      <c r="D17" s="152"/>
      <c r="E17" s="155"/>
      <c r="F17" s="153"/>
      <c r="G17" s="148">
        <v>1033</v>
      </c>
      <c r="H17" s="147"/>
      <c r="I17" s="63" t="str">
        <f t="shared" si="1"/>
        <v/>
      </c>
      <c r="J17" s="163">
        <f>SUM(C6:C14)</f>
        <v>0</v>
      </c>
      <c r="K17" s="168">
        <f>(C4+F6)</f>
        <v>0</v>
      </c>
      <c r="L17" s="75">
        <f>Table1[[#This Row],[Сумма stavki]]-G$5+Table1[[#This Row],[Сумма stavki]]</f>
        <v>-1033</v>
      </c>
      <c r="M17" s="58">
        <f>Table1[[#This Row],[Сумма stavki]]*2</f>
        <v>0</v>
      </c>
      <c r="N17" s="86"/>
      <c r="O17" s="52"/>
      <c r="P17" s="157">
        <f>(Table1[[#This Row],[Сумма stavki]]*1)</f>
        <v>0</v>
      </c>
      <c r="Q17" s="83">
        <f t="shared" si="0"/>
        <v>0</v>
      </c>
      <c r="R17" s="166">
        <f>Table1[[#This Row],[Сумма stavki]]*3</f>
        <v>0</v>
      </c>
      <c r="S17" s="165"/>
    </row>
    <row r="18" spans="1:19" ht="15" x14ac:dyDescent="0.25">
      <c r="A18" s="85">
        <f t="shared" si="3"/>
        <v>13</v>
      </c>
      <c r="B18" s="154"/>
      <c r="C18" s="151"/>
      <c r="D18" s="152"/>
      <c r="E18" s="155"/>
      <c r="F18" s="153"/>
      <c r="G18" s="148">
        <v>1033</v>
      </c>
      <c r="H18" s="147"/>
      <c r="I18" s="63" t="str">
        <f t="shared" si="1"/>
        <v/>
      </c>
      <c r="J18" s="163"/>
      <c r="K18" s="169" t="e">
        <f>K17/J17</f>
        <v>#DIV/0!</v>
      </c>
      <c r="L18" s="75">
        <f>Table1[[#This Row],[Сумма stavki]]-G$5+Table1[[#This Row],[Сумма stavki]]</f>
        <v>-1033</v>
      </c>
      <c r="M18" s="58">
        <f>Table1[[#This Row],[Сумма stavki]]*2</f>
        <v>0</v>
      </c>
      <c r="N18" s="86"/>
      <c r="O18" s="52"/>
      <c r="P18" s="157">
        <f>(Table1[[#This Row],[Сумма stavki]]*1)</f>
        <v>0</v>
      </c>
      <c r="Q18" s="83">
        <f t="shared" si="0"/>
        <v>0</v>
      </c>
      <c r="R18" s="166">
        <f>Table1[[#This Row],[Сумма stavki]]*3</f>
        <v>0</v>
      </c>
      <c r="S18" s="165"/>
    </row>
    <row r="19" spans="1:19" ht="15" x14ac:dyDescent="0.25">
      <c r="A19" s="85">
        <f t="shared" si="3"/>
        <v>14</v>
      </c>
      <c r="B19" s="154"/>
      <c r="C19" s="151"/>
      <c r="D19" s="152"/>
      <c r="E19" s="155"/>
      <c r="F19" s="153"/>
      <c r="G19" s="148">
        <v>1033</v>
      </c>
      <c r="H19" s="147"/>
      <c r="I19" s="63" t="str">
        <f t="shared" si="1"/>
        <v/>
      </c>
      <c r="J19" s="164"/>
      <c r="K19" s="169">
        <f>J19*J19</f>
        <v>0</v>
      </c>
      <c r="L19" s="75">
        <f>Table1[[#This Row],[Сумма stavki]]-G$5+Table1[[#This Row],[Сумма stavki]]</f>
        <v>-1033</v>
      </c>
      <c r="M19" s="58">
        <f>Table1[[#This Row],[Сумма stavki]]*2</f>
        <v>0</v>
      </c>
      <c r="N19" s="86"/>
      <c r="O19" s="52"/>
      <c r="P19" s="157">
        <f>(Table1[[#This Row],[Сумма stavki]]*1)</f>
        <v>0</v>
      </c>
      <c r="Q19" s="83">
        <f t="shared" si="0"/>
        <v>0</v>
      </c>
      <c r="R19" s="166">
        <f>Table1[[#This Row],[Сумма stavki]]*3</f>
        <v>0</v>
      </c>
      <c r="S19" s="165"/>
    </row>
    <row r="20" spans="1:19" ht="15" x14ac:dyDescent="0.25">
      <c r="A20" s="85">
        <f t="shared" si="3"/>
        <v>15</v>
      </c>
      <c r="B20" s="154"/>
      <c r="C20" s="151"/>
      <c r="D20" s="152"/>
      <c r="E20" s="155"/>
      <c r="F20" s="153"/>
      <c r="G20" s="148">
        <v>1033</v>
      </c>
      <c r="H20" s="147"/>
      <c r="I20" s="63" t="str">
        <f t="shared" si="1"/>
        <v/>
      </c>
      <c r="J20" s="74"/>
      <c r="K20" s="72"/>
      <c r="L20" s="75">
        <f>Table1[[#This Row],[Сумма stavki]]-G$5+Table1[[#This Row],[Сумма stavki]]</f>
        <v>-1033</v>
      </c>
      <c r="M20" s="58">
        <f>Table1[[#This Row],[Сумма stavki]]*2</f>
        <v>0</v>
      </c>
      <c r="N20" s="86"/>
      <c r="O20" s="52"/>
      <c r="P20" s="157">
        <f>(Table1[[#This Row],[Сумма stavki]]*1)</f>
        <v>0</v>
      </c>
      <c r="Q20" s="83">
        <f t="shared" si="0"/>
        <v>0</v>
      </c>
      <c r="R20" s="166">
        <f>Table1[[#This Row],[Сумма stavki]]*3</f>
        <v>0</v>
      </c>
    </row>
    <row r="21" spans="1:19" ht="15" x14ac:dyDescent="0.25">
      <c r="A21" s="85">
        <f t="shared" si="3"/>
        <v>16</v>
      </c>
      <c r="B21" s="154"/>
      <c r="C21" s="151"/>
      <c r="D21" s="152"/>
      <c r="E21" s="155"/>
      <c r="F21" s="153"/>
      <c r="G21" s="148">
        <v>1033</v>
      </c>
      <c r="H21" s="147"/>
      <c r="I21" s="63" t="str">
        <f t="shared" si="1"/>
        <v/>
      </c>
      <c r="J21" s="71"/>
      <c r="K21" s="77"/>
      <c r="L21" s="75">
        <f>Table1[[#This Row],[Сумма stavki]]-G$5+Table1[[#This Row],[Сумма stavki]]</f>
        <v>-1033</v>
      </c>
      <c r="M21" s="58">
        <f>Table1[[#This Row],[Сумма stavki]]*2</f>
        <v>0</v>
      </c>
      <c r="N21" s="86"/>
      <c r="O21" s="52"/>
      <c r="P21" s="157">
        <f>(Table1[[#This Row],[Сумма stavki]]*1)</f>
        <v>0</v>
      </c>
      <c r="Q21" s="83">
        <f t="shared" si="0"/>
        <v>0</v>
      </c>
      <c r="R21" s="166">
        <f>Table1[[#This Row],[Сумма stavki]]*3</f>
        <v>0</v>
      </c>
    </row>
    <row r="22" spans="1:19" ht="15" x14ac:dyDescent="0.25">
      <c r="A22" s="85">
        <f t="shared" si="3"/>
        <v>17</v>
      </c>
      <c r="B22" s="154"/>
      <c r="C22" s="151"/>
      <c r="D22" s="152"/>
      <c r="E22" s="155"/>
      <c r="F22" s="153"/>
      <c r="G22" s="148">
        <v>1033</v>
      </c>
      <c r="H22" s="147"/>
      <c r="I22" s="63" t="str">
        <f t="shared" si="1"/>
        <v/>
      </c>
      <c r="J22" s="163"/>
      <c r="K22" s="77"/>
      <c r="L22" s="75">
        <f>Table1[[#This Row],[Сумма stavki]]-G$5+Table1[[#This Row],[Сумма stavki]]</f>
        <v>-1033</v>
      </c>
      <c r="M22" s="58">
        <f>Table1[[#This Row],[Сумма stavki]]*2</f>
        <v>0</v>
      </c>
      <c r="N22" s="60"/>
      <c r="O22" s="52"/>
      <c r="P22" s="157">
        <f>(Table1[[#This Row],[Сумма stavki]]*1)</f>
        <v>0</v>
      </c>
      <c r="Q22" s="83">
        <f t="shared" si="0"/>
        <v>0</v>
      </c>
      <c r="R22" s="166">
        <f>Table1[[#This Row],[Сумма stavki]]*3</f>
        <v>0</v>
      </c>
      <c r="S22" s="15"/>
    </row>
    <row r="23" spans="1:19" ht="15" x14ac:dyDescent="0.25">
      <c r="A23" s="85">
        <f t="shared" si="3"/>
        <v>18</v>
      </c>
      <c r="B23" s="154"/>
      <c r="C23" s="151"/>
      <c r="D23" s="152"/>
      <c r="E23" s="155"/>
      <c r="F23" s="153"/>
      <c r="G23" s="148">
        <v>1033</v>
      </c>
      <c r="H23" s="147"/>
      <c r="I23" s="63" t="str">
        <f t="shared" si="1"/>
        <v/>
      </c>
      <c r="J23" s="163"/>
      <c r="K23" s="168"/>
      <c r="L23" s="75">
        <f>Table1[[#This Row],[Сумма stavki]]-G$5+Table1[[#This Row],[Сумма stavki]]</f>
        <v>-1033</v>
      </c>
      <c r="M23" s="58">
        <f>Table1[[#This Row],[Сумма stavki]]*2</f>
        <v>0</v>
      </c>
      <c r="N23" s="60"/>
      <c r="O23" s="52"/>
      <c r="P23" s="157">
        <f>(Table1[[#This Row],[Сумма stavki]]*1)</f>
        <v>0</v>
      </c>
      <c r="Q23" s="83">
        <f t="shared" si="0"/>
        <v>0</v>
      </c>
      <c r="R23" s="166">
        <f>Table1[[#This Row],[Сумма stavki]]*3</f>
        <v>0</v>
      </c>
    </row>
    <row r="24" spans="1:19" ht="15" x14ac:dyDescent="0.25">
      <c r="A24" s="85">
        <f t="shared" si="3"/>
        <v>19</v>
      </c>
      <c r="B24" s="154"/>
      <c r="C24" s="151"/>
      <c r="D24" s="152"/>
      <c r="E24" s="155"/>
      <c r="F24" s="153"/>
      <c r="G24" s="148"/>
      <c r="H24" s="147">
        <v>17036</v>
      </c>
      <c r="I24" s="63">
        <f t="shared" si="1"/>
        <v>-9019.92</v>
      </c>
      <c r="J24" s="163"/>
      <c r="K24" s="77"/>
      <c r="L24" s="75">
        <f>Table1[[#This Row],[Сумма stavki]]-G$5+Table1[[#This Row],[Сумма stavki]]</f>
        <v>-1033</v>
      </c>
      <c r="M24" s="58">
        <f>Table1[[#This Row],[Сумма stavki]]*2</f>
        <v>0</v>
      </c>
      <c r="N24" s="60"/>
      <c r="O24" s="52"/>
      <c r="P24" s="157">
        <f>(Table1[[#This Row],[Сумма stavki]]*1)</f>
        <v>0</v>
      </c>
      <c r="Q24" s="83">
        <f t="shared" si="0"/>
        <v>0</v>
      </c>
      <c r="R24" s="166">
        <f>Table1[[#This Row],[Сумма stavki]]*3</f>
        <v>0</v>
      </c>
    </row>
    <row r="25" spans="1:19" ht="15" x14ac:dyDescent="0.25">
      <c r="A25" s="85">
        <f t="shared" si="3"/>
        <v>20</v>
      </c>
      <c r="B25" s="154"/>
      <c r="C25" s="151"/>
      <c r="D25" s="152"/>
      <c r="E25" s="155"/>
      <c r="F25" s="153"/>
      <c r="G25" s="148">
        <v>1033</v>
      </c>
      <c r="H25" s="147"/>
      <c r="I25" s="63" t="str">
        <f t="shared" si="1"/>
        <v/>
      </c>
      <c r="J25" s="164"/>
      <c r="K25" s="158"/>
      <c r="L25" s="75">
        <f>Table1[[#This Row],[Сумма stavki]]-G$5+Table1[[#This Row],[Сумма stavki]]</f>
        <v>-1033</v>
      </c>
      <c r="M25" s="58">
        <f>Table1[[#This Row],[Сумма stavki]]*2</f>
        <v>0</v>
      </c>
      <c r="N25" s="60"/>
      <c r="O25" s="52"/>
      <c r="P25" s="157">
        <f>(Table1[[#This Row],[Сумма stavki]]*1)</f>
        <v>0</v>
      </c>
      <c r="Q25" s="83">
        <f t="shared" si="0"/>
        <v>0</v>
      </c>
      <c r="R25" s="166">
        <f>Table1[[#This Row],[Сумма stavki]]*3</f>
        <v>0</v>
      </c>
    </row>
    <row r="26" spans="1:19" ht="15" x14ac:dyDescent="0.25">
      <c r="A26" s="85">
        <f t="shared" si="3"/>
        <v>21</v>
      </c>
      <c r="B26" s="154"/>
      <c r="C26" s="151"/>
      <c r="D26" s="152"/>
      <c r="E26" s="155"/>
      <c r="F26" s="153"/>
      <c r="G26" s="148">
        <v>1033</v>
      </c>
      <c r="H26" s="147"/>
      <c r="I26" s="63" t="str">
        <f t="shared" si="1"/>
        <v/>
      </c>
      <c r="J26" s="164"/>
      <c r="K26" s="158"/>
      <c r="L26" s="75">
        <f>Table1[[#This Row],[Сумма stavki]]-G$5+Table1[[#This Row],[Сумма stavki]]</f>
        <v>-1033</v>
      </c>
      <c r="M26" s="58">
        <f>Table1[[#This Row],[Сумма stavki]]*2</f>
        <v>0</v>
      </c>
      <c r="N26" s="60"/>
      <c r="O26" s="52"/>
      <c r="P26" s="157">
        <f>(Table1[[#This Row],[Сумма stavki]]*1)</f>
        <v>0</v>
      </c>
      <c r="Q26" s="83">
        <f t="shared" si="0"/>
        <v>0</v>
      </c>
      <c r="R26" s="166">
        <f>Table1[[#This Row],[Сумма stavki]]*3</f>
        <v>0</v>
      </c>
    </row>
    <row r="27" spans="1:19" ht="15" x14ac:dyDescent="0.25">
      <c r="A27" s="85">
        <f t="shared" si="3"/>
        <v>22</v>
      </c>
      <c r="B27" s="154"/>
      <c r="C27" s="151"/>
      <c r="D27" s="152"/>
      <c r="E27" s="155"/>
      <c r="F27" s="153"/>
      <c r="G27" s="148">
        <v>1033</v>
      </c>
      <c r="H27" s="147"/>
      <c r="I27" s="63" t="str">
        <f t="shared" si="1"/>
        <v/>
      </c>
      <c r="J27" s="163"/>
      <c r="K27" s="158"/>
      <c r="L27" s="75">
        <f>Table1[[#This Row],[Сумма stavki]]-G$5+Table1[[#This Row],[Сумма stavki]]</f>
        <v>-1033</v>
      </c>
      <c r="M27" s="58">
        <f>Table1[[#This Row],[Сумма stavki]]*2</f>
        <v>0</v>
      </c>
      <c r="N27" s="86"/>
      <c r="O27" s="52"/>
      <c r="P27" s="157">
        <f>(Table1[[#This Row],[Сумма stavki]]*1)</f>
        <v>0</v>
      </c>
      <c r="Q27" s="83">
        <f t="shared" si="0"/>
        <v>0</v>
      </c>
      <c r="R27" s="166">
        <f>Table1[[#This Row],[Сумма stavki]]*3</f>
        <v>0</v>
      </c>
    </row>
    <row r="28" spans="1:19" ht="15" x14ac:dyDescent="0.25">
      <c r="A28" s="85">
        <f t="shared" si="3"/>
        <v>23</v>
      </c>
      <c r="B28" s="154"/>
      <c r="C28" s="151"/>
      <c r="D28" s="152"/>
      <c r="E28" s="155"/>
      <c r="F28" s="153"/>
      <c r="G28" s="148">
        <v>1033</v>
      </c>
      <c r="H28" s="147"/>
      <c r="I28" s="63" t="str">
        <f t="shared" si="1"/>
        <v/>
      </c>
      <c r="J28" s="163"/>
      <c r="K28" s="72"/>
      <c r="L28" s="75">
        <f>Table1[[#This Row],[Сумма stavki]]-G$5+Table1[[#This Row],[Сумма stavki]]</f>
        <v>-1033</v>
      </c>
      <c r="M28" s="58">
        <f>Table1[[#This Row],[Сумма stavki]]*2</f>
        <v>0</v>
      </c>
      <c r="N28" s="86"/>
      <c r="O28" s="52"/>
      <c r="P28" s="157">
        <f>(Table1[[#This Row],[Сумма stavki]]*1)</f>
        <v>0</v>
      </c>
      <c r="Q28" s="83">
        <f t="shared" si="0"/>
        <v>0</v>
      </c>
      <c r="R28" s="166">
        <f>Table1[[#This Row],[Сумма stavki]]*3</f>
        <v>0</v>
      </c>
      <c r="S28" s="15"/>
    </row>
    <row r="29" spans="1:19" ht="15" x14ac:dyDescent="0.25">
      <c r="A29" s="85">
        <f t="shared" si="3"/>
        <v>24</v>
      </c>
      <c r="B29" s="154"/>
      <c r="C29" s="151"/>
      <c r="D29" s="152"/>
      <c r="E29" s="155"/>
      <c r="F29" s="153"/>
      <c r="G29" s="148">
        <v>1033</v>
      </c>
      <c r="H29" s="147"/>
      <c r="I29" s="63" t="str">
        <f t="shared" si="1"/>
        <v/>
      </c>
      <c r="J29" s="163"/>
      <c r="K29" s="72"/>
      <c r="L29" s="75">
        <f>Table1[[#This Row],[Сумма stavki]]-G$5+Table1[[#This Row],[Сумма stavki]]</f>
        <v>-1033</v>
      </c>
      <c r="M29" s="58">
        <f>Table1[[#This Row],[Сумма stavki]]*2</f>
        <v>0</v>
      </c>
      <c r="N29" s="86"/>
      <c r="O29" s="52"/>
      <c r="P29" s="157">
        <f>(Table1[[#This Row],[Сумма stavki]]*1)</f>
        <v>0</v>
      </c>
      <c r="Q29" s="83">
        <f t="shared" si="0"/>
        <v>0</v>
      </c>
      <c r="R29" s="166">
        <f>Table1[[#This Row],[Сумма stavki]]*3</f>
        <v>0</v>
      </c>
    </row>
    <row r="30" spans="1:19" ht="15" x14ac:dyDescent="0.25">
      <c r="A30" s="85">
        <f t="shared" si="3"/>
        <v>25</v>
      </c>
      <c r="B30" s="154"/>
      <c r="C30" s="151"/>
      <c r="D30" s="152"/>
      <c r="E30" s="155"/>
      <c r="F30" s="153"/>
      <c r="G30" s="148">
        <v>1033</v>
      </c>
      <c r="H30" s="147"/>
      <c r="I30" s="63" t="str">
        <f>IF(H30&gt;0,SUM(H$1-H30),"")</f>
        <v/>
      </c>
      <c r="J30" s="164"/>
      <c r="K30" s="72"/>
      <c r="L30" s="75">
        <f>Table1[[#This Row],[Сумма stavki]]-G$5+Table1[[#This Row],[Сумма stavki]]</f>
        <v>-1033</v>
      </c>
      <c r="M30" s="58">
        <f>Table1[[#This Row],[Сумма stavki]]*2</f>
        <v>0</v>
      </c>
      <c r="N30" s="86"/>
      <c r="O30" s="52"/>
      <c r="P30" s="157">
        <f>(Table1[[#This Row],[Сумма stavki]]*1)</f>
        <v>0</v>
      </c>
      <c r="Q30" s="83">
        <f t="shared" si="0"/>
        <v>0</v>
      </c>
      <c r="R30" s="166">
        <f>Table1[[#This Row],[Сумма stavki]]*3</f>
        <v>0</v>
      </c>
    </row>
    <row r="31" spans="1:19" ht="15" x14ac:dyDescent="0.25">
      <c r="A31" s="85">
        <f t="shared" si="3"/>
        <v>26</v>
      </c>
      <c r="B31" s="154"/>
      <c r="C31" s="151"/>
      <c r="D31" s="152"/>
      <c r="E31" s="155"/>
      <c r="F31" s="153"/>
      <c r="G31" s="148"/>
      <c r="H31" s="147">
        <v>13893</v>
      </c>
      <c r="I31" s="63">
        <f t="shared" si="1"/>
        <v>-5876.92</v>
      </c>
      <c r="J31" s="164"/>
      <c r="K31" s="73"/>
      <c r="L31" s="75">
        <f>Table1[[#This Row],[Сумма stavki]]-G$5+Table1[[#This Row],[Сумма stavki]]</f>
        <v>-1033</v>
      </c>
      <c r="M31" s="58">
        <f>Table1[[#This Row],[Сумма stavki]]*2</f>
        <v>0</v>
      </c>
      <c r="N31" s="15"/>
      <c r="O31" s="38"/>
      <c r="P31" s="157">
        <f>(Table1[[#This Row],[Сумма stavki]]*1)</f>
        <v>0</v>
      </c>
      <c r="Q31" s="83">
        <f t="shared" si="0"/>
        <v>0</v>
      </c>
      <c r="R31" s="166">
        <f>Table1[[#This Row],[Сумма stavki]]*3</f>
        <v>0</v>
      </c>
    </row>
    <row r="32" spans="1:19" ht="15" x14ac:dyDescent="0.25">
      <c r="A32" s="85">
        <f t="shared" si="3"/>
        <v>27</v>
      </c>
      <c r="B32" s="154"/>
      <c r="C32" s="151"/>
      <c r="D32" s="152"/>
      <c r="E32" s="155"/>
      <c r="F32" s="153"/>
      <c r="G32" s="148"/>
      <c r="H32" s="147">
        <v>8017</v>
      </c>
      <c r="I32" s="63">
        <f t="shared" si="1"/>
        <v>-0.92000000000007276</v>
      </c>
      <c r="J32" s="164"/>
      <c r="K32" s="64"/>
      <c r="L32" s="75">
        <f>Table1[[#This Row],[Сумма stavki]]-G$5+Table1[[#This Row],[Сумма stavki]]</f>
        <v>-1033</v>
      </c>
      <c r="M32" s="58">
        <f>Table1[[#This Row],[Сумма stavki]]*2</f>
        <v>0</v>
      </c>
      <c r="N32" s="66"/>
      <c r="O32" s="38"/>
      <c r="P32" s="67"/>
      <c r="Q32" s="40"/>
      <c r="R32" s="166">
        <f>Table1[[#This Row],[Сумма stavki]]*3</f>
        <v>0</v>
      </c>
    </row>
    <row r="33" spans="1:18" ht="15" x14ac:dyDescent="0.25">
      <c r="A33" s="85">
        <f t="shared" si="3"/>
        <v>28</v>
      </c>
      <c r="B33" s="154"/>
      <c r="C33" s="151"/>
      <c r="D33" s="152"/>
      <c r="E33" s="155"/>
      <c r="F33" s="153"/>
      <c r="G33" s="148"/>
      <c r="H33" s="147">
        <v>8640</v>
      </c>
      <c r="I33" s="63">
        <f>IF(H33&gt;0,SUM(H$1-H33),"")</f>
        <v>-623.92000000000007</v>
      </c>
      <c r="J33" s="164"/>
      <c r="K33" s="43"/>
      <c r="L33" s="75">
        <f>Table1[[#This Row],[Сумма stavki]]-G$5+Table1[[#This Row],[Сумма stavki]]</f>
        <v>-1033</v>
      </c>
      <c r="M33" s="58">
        <f>Table1[[#This Row],[Сумма stavki]]*2</f>
        <v>0</v>
      </c>
      <c r="N33" s="50"/>
      <c r="O33" s="38"/>
      <c r="P33" s="43"/>
      <c r="Q33" s="38"/>
      <c r="R33" s="166">
        <f>Table1[[#This Row],[Сумма stavki]]*3</f>
        <v>0</v>
      </c>
    </row>
    <row r="34" spans="1:18" ht="15" x14ac:dyDescent="0.25">
      <c r="A34" s="85">
        <f t="shared" si="3"/>
        <v>29</v>
      </c>
      <c r="B34" s="154"/>
      <c r="C34" s="151"/>
      <c r="D34" s="152"/>
      <c r="E34" s="155"/>
      <c r="F34" s="153"/>
      <c r="G34" s="148"/>
      <c r="H34" s="147">
        <v>8769</v>
      </c>
      <c r="I34" s="63">
        <f t="shared" si="1"/>
        <v>-752.92000000000007</v>
      </c>
      <c r="J34" s="71"/>
      <c r="K34" s="65"/>
      <c r="L34" s="75">
        <f>Table1[[#This Row],[Сумма stavki]]-G$5+Table1[[#This Row],[Сумма stavki]]</f>
        <v>-1033</v>
      </c>
      <c r="M34" s="58">
        <f>Table1[[#This Row],[Сумма stavki]]*2</f>
        <v>0</v>
      </c>
      <c r="N34" s="50"/>
      <c r="O34" s="38"/>
      <c r="P34" s="43"/>
      <c r="Q34" s="38"/>
      <c r="R34" s="166">
        <f>Table1[[#This Row],[Сумма stavki]]*3</f>
        <v>0</v>
      </c>
    </row>
    <row r="35" spans="1:18" ht="15" x14ac:dyDescent="0.25">
      <c r="A35" s="85">
        <f t="shared" si="3"/>
        <v>30</v>
      </c>
      <c r="B35" s="154"/>
      <c r="C35" s="151"/>
      <c r="D35" s="152"/>
      <c r="E35" s="155"/>
      <c r="F35" s="153"/>
      <c r="G35" s="148">
        <v>1033</v>
      </c>
      <c r="H35" s="147"/>
      <c r="I35" s="63" t="str">
        <f t="shared" si="1"/>
        <v/>
      </c>
      <c r="J35" s="74"/>
      <c r="K35" s="24"/>
      <c r="L35" s="75">
        <f>Table1[[#This Row],[Сумма stavki]]-G$5+Table1[[#This Row],[Сумма stavki]]</f>
        <v>-1033</v>
      </c>
      <c r="M35" s="58">
        <f>Table1[[#This Row],[Сумма stavki]]*2</f>
        <v>0</v>
      </c>
      <c r="N35" s="38"/>
      <c r="O35" s="38"/>
      <c r="P35" s="43"/>
      <c r="Q35" s="38"/>
      <c r="R35" s="166">
        <f>Table1[[#This Row],[Сумма stavki]]*3</f>
        <v>0</v>
      </c>
    </row>
    <row r="36" spans="1:18" ht="15" x14ac:dyDescent="0.25">
      <c r="A36" s="85">
        <f t="shared" si="3"/>
        <v>31</v>
      </c>
      <c r="B36" s="154"/>
      <c r="C36" s="151"/>
      <c r="D36" s="152"/>
      <c r="E36" s="155"/>
      <c r="F36" s="153"/>
      <c r="G36" s="148">
        <v>1033</v>
      </c>
      <c r="H36" s="147"/>
      <c r="I36" s="63" t="str">
        <f t="shared" si="1"/>
        <v/>
      </c>
      <c r="J36" s="74"/>
      <c r="L36" s="75">
        <f>Table1[[#This Row],[Сумма stavki]]-G$5+Table1[[#This Row],[Сумма stavki]]</f>
        <v>-1033</v>
      </c>
      <c r="M36" s="58">
        <f>Table1[[#This Row],[Сумма stavki]]*2</f>
        <v>0</v>
      </c>
      <c r="N36" s="39"/>
      <c r="O36" s="38"/>
      <c r="P36" s="70"/>
      <c r="Q36" s="38"/>
      <c r="R36" s="166">
        <f>Table1[[#This Row],[Сумма stavki]]*3</f>
        <v>0</v>
      </c>
    </row>
    <row r="37" spans="1:18" ht="15" x14ac:dyDescent="0.25">
      <c r="A37">
        <f t="shared" si="3"/>
        <v>32</v>
      </c>
      <c r="B37" s="154"/>
      <c r="C37" s="151"/>
      <c r="D37" s="152"/>
      <c r="E37" s="155"/>
      <c r="F37" s="153"/>
      <c r="G37" s="148"/>
      <c r="H37" s="147">
        <v>8995</v>
      </c>
      <c r="I37" s="63">
        <f t="shared" si="1"/>
        <v>-978.92000000000007</v>
      </c>
      <c r="J37" s="74"/>
      <c r="L37" s="75">
        <f>Table1[[#This Row],[Сумма stavki]]-G$5+Table1[[#This Row],[Сумма stavki]]</f>
        <v>-1033</v>
      </c>
      <c r="M37" s="58">
        <f>Table1[[#This Row],[Сумма stavki]]*2</f>
        <v>0</v>
      </c>
      <c r="N37" s="39"/>
      <c r="O37" s="39"/>
      <c r="P37" s="38"/>
      <c r="Q37" s="40"/>
      <c r="R37" s="166">
        <f>Table1[[#This Row],[Сумма stavki]]*3</f>
        <v>0</v>
      </c>
    </row>
    <row r="38" spans="1:18" ht="15" x14ac:dyDescent="0.25">
      <c r="A38">
        <f t="shared" si="3"/>
        <v>33</v>
      </c>
      <c r="B38" s="154"/>
      <c r="C38" s="151"/>
      <c r="D38" s="152"/>
      <c r="E38" s="155"/>
      <c r="F38" s="153"/>
      <c r="G38" s="148"/>
      <c r="H38" s="147">
        <v>9272</v>
      </c>
      <c r="I38" s="63">
        <f t="shared" si="1"/>
        <v>-1255.92</v>
      </c>
      <c r="J38" s="71"/>
      <c r="K38" s="43"/>
      <c r="L38" s="75">
        <f>Table1[[#This Row],[Сумма stavki]]-G$5+Table1[[#This Row],[Сумма stavki]]</f>
        <v>-1033</v>
      </c>
      <c r="M38" s="58">
        <f>Table1[[#This Row],[Сумма stavki]]*2</f>
        <v>0</v>
      </c>
      <c r="N38" s="39"/>
      <c r="O38" s="39"/>
      <c r="P38" s="40"/>
      <c r="Q38" s="40"/>
      <c r="R38" s="166">
        <f>Table1[[#This Row],[Сумма stavki]]*3</f>
        <v>0</v>
      </c>
    </row>
    <row r="39" spans="1:18" ht="15" x14ac:dyDescent="0.25">
      <c r="A39">
        <f t="shared" si="3"/>
        <v>34</v>
      </c>
      <c r="B39" s="154"/>
      <c r="C39" s="151"/>
      <c r="D39" s="152"/>
      <c r="E39" s="155"/>
      <c r="F39" s="153"/>
      <c r="G39" s="148"/>
      <c r="H39" s="147">
        <v>8899</v>
      </c>
      <c r="I39" s="63">
        <f t="shared" si="1"/>
        <v>-882.92000000000007</v>
      </c>
      <c r="J39" s="71"/>
      <c r="K39" s="43"/>
      <c r="L39" s="75">
        <f>Table1[[#This Row],[Сумма stavki]]-G$5+Table1[[#This Row],[Сумма stavki]]</f>
        <v>-1033</v>
      </c>
      <c r="M39" s="58">
        <f>Table1[[#This Row],[Сумма stavki]]*2</f>
        <v>0</v>
      </c>
      <c r="N39" s="38"/>
      <c r="O39" s="39"/>
      <c r="P39" s="40"/>
      <c r="Q39" s="40"/>
      <c r="R39" s="166">
        <f>Table1[[#This Row],[Сумма stavki]]*3</f>
        <v>0</v>
      </c>
    </row>
    <row r="40" spans="1:18" ht="15" x14ac:dyDescent="0.25">
      <c r="A40">
        <f t="shared" si="3"/>
        <v>35</v>
      </c>
      <c r="B40" s="154"/>
      <c r="C40" s="151"/>
      <c r="D40" s="152"/>
      <c r="E40" s="155"/>
      <c r="F40" s="153"/>
      <c r="G40" s="148"/>
      <c r="H40" s="147">
        <v>8822</v>
      </c>
      <c r="I40" s="63">
        <f t="shared" si="1"/>
        <v>-805.92000000000007</v>
      </c>
      <c r="J40" s="71"/>
      <c r="K40" s="43"/>
      <c r="L40" s="75">
        <f>Table1[[#This Row],[Сумма stavki]]-G$5+Table1[[#This Row],[Сумма stavki]]</f>
        <v>-1033</v>
      </c>
      <c r="M40" s="58">
        <f>Table1[[#This Row],[Сумма stavki]]*2</f>
        <v>0</v>
      </c>
      <c r="N40" s="47"/>
      <c r="O40" s="39"/>
      <c r="P40" s="40"/>
      <c r="Q40" s="40"/>
    </row>
    <row r="41" spans="1:18" ht="15" x14ac:dyDescent="0.25">
      <c r="A41">
        <f t="shared" si="3"/>
        <v>36</v>
      </c>
      <c r="B41" s="154"/>
      <c r="C41" s="151"/>
      <c r="D41" s="152"/>
      <c r="E41" s="155"/>
      <c r="F41" s="153"/>
      <c r="G41" s="148">
        <v>1033</v>
      </c>
      <c r="H41" s="147"/>
      <c r="I41" s="63" t="str">
        <f t="shared" si="1"/>
        <v/>
      </c>
      <c r="J41" s="44"/>
      <c r="K41" s="43"/>
      <c r="L41" s="75">
        <f>Table1[[#This Row],[Сумма stavki]]-G$5+Table1[[#This Row],[Сумма stavki]]</f>
        <v>-1033</v>
      </c>
      <c r="M41" s="58">
        <f>Table1[[#This Row],[Сумма stavki]]*2</f>
        <v>0</v>
      </c>
      <c r="N41" s="38"/>
      <c r="O41" s="39"/>
      <c r="P41" s="40"/>
      <c r="Q41" s="40"/>
    </row>
    <row r="42" spans="1:18" ht="15" x14ac:dyDescent="0.25">
      <c r="A42">
        <f t="shared" si="3"/>
        <v>37</v>
      </c>
      <c r="B42" s="154"/>
      <c r="C42" s="151"/>
      <c r="D42" s="152"/>
      <c r="E42" s="155"/>
      <c r="F42" s="153"/>
      <c r="G42" s="148">
        <v>1033</v>
      </c>
      <c r="H42" s="147"/>
      <c r="I42" s="63" t="str">
        <f t="shared" si="1"/>
        <v/>
      </c>
      <c r="J42" s="71"/>
      <c r="K42" s="43"/>
      <c r="L42" s="75">
        <f>Table1[[#This Row],[Сумма stavki]]-G$5+Table1[[#This Row],[Сумма stavki]]</f>
        <v>-1033</v>
      </c>
      <c r="M42" s="58">
        <f>Table1[[#This Row],[Сумма stavki]]*2</f>
        <v>0</v>
      </c>
      <c r="N42" s="39"/>
      <c r="O42" s="39"/>
      <c r="P42" s="40"/>
      <c r="Q42" s="40"/>
    </row>
    <row r="43" spans="1:18" ht="15" x14ac:dyDescent="0.25">
      <c r="A43" s="85">
        <f t="shared" si="3"/>
        <v>38</v>
      </c>
      <c r="B43" s="154"/>
      <c r="C43" s="151"/>
      <c r="D43" s="152"/>
      <c r="E43" s="155"/>
      <c r="F43" s="153"/>
      <c r="G43" s="148">
        <v>1033</v>
      </c>
      <c r="H43" s="147"/>
      <c r="I43" s="63" t="str">
        <f t="shared" si="1"/>
        <v/>
      </c>
      <c r="J43" s="71"/>
      <c r="K43" s="43"/>
      <c r="L43" s="75">
        <f>Table1[[#This Row],[Сумма stavki]]-G$5+Table1[[#This Row],[Сумма stavki]]</f>
        <v>-1033</v>
      </c>
      <c r="M43" s="58">
        <f>Table1[[#This Row],[Сумма stavki]]*2</f>
        <v>0</v>
      </c>
      <c r="N43" s="40"/>
      <c r="O43" s="39"/>
      <c r="P43" s="40"/>
      <c r="Q43" s="40"/>
    </row>
    <row r="44" spans="1:18" ht="15" x14ac:dyDescent="0.25">
      <c r="A44" s="85">
        <f t="shared" si="3"/>
        <v>39</v>
      </c>
      <c r="B44" s="154"/>
      <c r="C44" s="151"/>
      <c r="D44" s="152"/>
      <c r="E44" s="155"/>
      <c r="F44" s="153"/>
      <c r="G44" s="148">
        <v>1033</v>
      </c>
      <c r="H44" s="147"/>
      <c r="I44" s="63" t="str">
        <f t="shared" si="1"/>
        <v/>
      </c>
      <c r="J44" s="44"/>
      <c r="K44" s="43"/>
      <c r="L44" s="75">
        <f>Table1[[#This Row],[Сумма stavki]]-G$5+Table1[[#This Row],[Сумма stavki]]</f>
        <v>-1033</v>
      </c>
      <c r="M44" s="58">
        <f>Table1[[#This Row],[Сумма stavki]]*2</f>
        <v>0</v>
      </c>
      <c r="N44" s="40"/>
      <c r="O44" s="40"/>
      <c r="P44" s="40"/>
      <c r="Q44" s="40"/>
    </row>
    <row r="45" spans="1:18" ht="15" x14ac:dyDescent="0.25">
      <c r="A45" s="4">
        <f>A44+1</f>
        <v>40</v>
      </c>
      <c r="B45" s="154"/>
      <c r="C45" s="151"/>
      <c r="D45" s="152"/>
      <c r="E45" s="155"/>
      <c r="F45" s="153"/>
      <c r="G45" s="148">
        <v>1033</v>
      </c>
      <c r="H45" s="147"/>
      <c r="I45" s="63" t="str">
        <f t="shared" si="1"/>
        <v/>
      </c>
      <c r="J45" s="44"/>
      <c r="K45" s="43"/>
      <c r="L45" s="75">
        <f>Table1[[#This Row],[Сумма stavki]]-G$5+Table1[[#This Row],[Сумма stavki]]</f>
        <v>-1033</v>
      </c>
      <c r="M45" s="58">
        <f>Table1[[#This Row],[Сумма stavki]]*2</f>
        <v>0</v>
      </c>
      <c r="N45" s="49"/>
      <c r="O45" s="40"/>
      <c r="P45" s="40"/>
      <c r="Q45" s="40"/>
    </row>
    <row r="46" spans="1:18" ht="15" x14ac:dyDescent="0.25">
      <c r="A46" s="4">
        <f>A45+1</f>
        <v>41</v>
      </c>
      <c r="B46" s="154"/>
      <c r="C46" s="151"/>
      <c r="D46" s="152"/>
      <c r="E46" s="155"/>
      <c r="F46" s="153"/>
      <c r="G46" s="148">
        <v>1033</v>
      </c>
      <c r="H46" s="147"/>
      <c r="I46" s="63" t="str">
        <f t="shared" ref="I46:I54" si="4">IF(H46&gt;0,SUM(H$1-H46),"")</f>
        <v/>
      </c>
      <c r="J46" s="44"/>
      <c r="K46" s="43"/>
      <c r="L46" s="75">
        <f>Table1[[#This Row],[Сумма stavki]]-G$5+Table1[[#This Row],[Сумма stavki]]</f>
        <v>-1033</v>
      </c>
      <c r="M46" s="58">
        <f>Table1[[#This Row],[Сумма stavki]]*2</f>
        <v>0</v>
      </c>
      <c r="N46" s="40"/>
      <c r="O46" s="40"/>
      <c r="P46" s="40"/>
      <c r="Q46" s="40"/>
    </row>
    <row r="47" spans="1:18" ht="15" x14ac:dyDescent="0.25">
      <c r="A47" s="4">
        <f t="shared" ref="A47:A54" si="5">A46+1</f>
        <v>42</v>
      </c>
      <c r="B47" s="154"/>
      <c r="C47" s="151"/>
      <c r="D47" s="152"/>
      <c r="E47" s="155"/>
      <c r="F47" s="153"/>
      <c r="G47" s="148"/>
      <c r="H47" s="147">
        <v>18028</v>
      </c>
      <c r="I47" s="63">
        <f t="shared" si="4"/>
        <v>-10011.92</v>
      </c>
      <c r="J47" s="44"/>
      <c r="K47" s="43"/>
      <c r="L47" s="75">
        <f>Table1[[#This Row],[Сумма stavki]]-G$5+Table1[[#This Row],[Сумма stavki]]</f>
        <v>-1033</v>
      </c>
      <c r="M47" s="58">
        <f>Table1[[#This Row],[Сумма stavki]]*2</f>
        <v>0</v>
      </c>
      <c r="N47" s="40"/>
      <c r="O47" s="40"/>
      <c r="P47" s="40"/>
      <c r="Q47" s="40"/>
    </row>
    <row r="48" spans="1:18" ht="15" x14ac:dyDescent="0.25">
      <c r="A48" s="4">
        <f t="shared" si="5"/>
        <v>43</v>
      </c>
      <c r="B48" s="154"/>
      <c r="C48" s="151"/>
      <c r="D48" s="152"/>
      <c r="E48" s="155"/>
      <c r="F48" s="153"/>
      <c r="G48" s="148"/>
      <c r="H48" s="147">
        <v>8017</v>
      </c>
      <c r="I48" s="63">
        <f t="shared" si="4"/>
        <v>-0.92000000000007276</v>
      </c>
      <c r="J48" s="44"/>
      <c r="K48" s="43"/>
      <c r="L48" s="75">
        <f>Table1[[#This Row],[Сумма stavki]]-G$5+Table1[[#This Row],[Сумма stavki]]</f>
        <v>-1033</v>
      </c>
      <c r="M48" s="58">
        <f>Table1[[#This Row],[Сумма stavki]]*2</f>
        <v>0</v>
      </c>
      <c r="N48" s="40"/>
      <c r="O48" s="40"/>
      <c r="P48" s="40"/>
      <c r="Q48" s="40"/>
    </row>
    <row r="49" spans="1:17" ht="15" x14ac:dyDescent="0.25">
      <c r="A49" s="4">
        <f t="shared" si="5"/>
        <v>44</v>
      </c>
      <c r="B49" s="154"/>
      <c r="C49" s="151"/>
      <c r="D49" s="152"/>
      <c r="E49" s="155"/>
      <c r="F49" s="153"/>
      <c r="G49" s="148">
        <v>1033</v>
      </c>
      <c r="H49" s="147"/>
      <c r="I49" s="63" t="str">
        <f t="shared" si="4"/>
        <v/>
      </c>
      <c r="J49" s="44"/>
      <c r="K49" s="43"/>
      <c r="L49" s="75">
        <f>Table1[[#This Row],[Сумма stavki]]-G$5+Table1[[#This Row],[Сумма stavki]]</f>
        <v>-1033</v>
      </c>
      <c r="M49" s="58">
        <f>Table1[[#This Row],[Сумма stavki]]*2</f>
        <v>0</v>
      </c>
      <c r="N49" s="40"/>
      <c r="O49" s="40"/>
      <c r="P49" s="40"/>
      <c r="Q49" s="40"/>
    </row>
    <row r="50" spans="1:17" ht="15" x14ac:dyDescent="0.25">
      <c r="A50" s="4">
        <f t="shared" si="5"/>
        <v>45</v>
      </c>
      <c r="B50" s="154"/>
      <c r="C50" s="151"/>
      <c r="D50" s="152"/>
      <c r="E50" s="155"/>
      <c r="F50" s="153"/>
      <c r="G50" s="148"/>
      <c r="H50" s="147">
        <v>7458</v>
      </c>
      <c r="I50" s="63">
        <f t="shared" si="4"/>
        <v>558.07999999999993</v>
      </c>
      <c r="J50" s="44"/>
      <c r="K50" s="43"/>
      <c r="L50" s="75">
        <f>Table1[[#This Row],[Сумма stavki]]-G$5+Table1[[#This Row],[Сумма stavki]]</f>
        <v>-1033</v>
      </c>
      <c r="M50" s="58">
        <f>Table1[[#This Row],[Сумма stavki]]*2</f>
        <v>0</v>
      </c>
      <c r="N50" s="40"/>
      <c r="O50" s="40"/>
      <c r="P50" s="40"/>
      <c r="Q50" s="40"/>
    </row>
    <row r="51" spans="1:17" ht="15" x14ac:dyDescent="0.25">
      <c r="A51" s="4">
        <f t="shared" si="5"/>
        <v>46</v>
      </c>
      <c r="B51" s="154"/>
      <c r="C51" s="151"/>
      <c r="D51" s="152"/>
      <c r="E51" s="155"/>
      <c r="F51" s="153"/>
      <c r="G51" s="148"/>
      <c r="H51" s="147"/>
      <c r="I51" s="63" t="str">
        <f t="shared" si="4"/>
        <v/>
      </c>
      <c r="J51" s="44"/>
      <c r="K51" s="43"/>
      <c r="L51" s="75">
        <f>Table1[[#This Row],[Сумма stavki]]-G$5+Table1[[#This Row],[Сумма stavki]]</f>
        <v>-1033</v>
      </c>
      <c r="M51" s="58">
        <f>Table1[[#This Row],[Сумма stavki]]*2</f>
        <v>0</v>
      </c>
      <c r="N51" s="40"/>
      <c r="O51" s="40"/>
      <c r="P51" s="40"/>
      <c r="Q51" s="40"/>
    </row>
    <row r="52" spans="1:17" ht="15" x14ac:dyDescent="0.25">
      <c r="A52" s="4">
        <f t="shared" si="5"/>
        <v>47</v>
      </c>
      <c r="B52" s="154"/>
      <c r="C52" s="151"/>
      <c r="D52" s="152"/>
      <c r="E52" s="155"/>
      <c r="F52" s="153"/>
      <c r="G52" s="148"/>
      <c r="H52" s="147"/>
      <c r="I52" s="63" t="str">
        <f t="shared" si="4"/>
        <v/>
      </c>
      <c r="J52" s="44"/>
      <c r="K52" s="43"/>
      <c r="L52" s="75">
        <f>Table1[[#This Row],[Сумма stavki]]-G$5+Table1[[#This Row],[Сумма stavki]]</f>
        <v>-1033</v>
      </c>
      <c r="M52" s="58">
        <f>Table1[[#This Row],[Сумма stavki]]*2</f>
        <v>0</v>
      </c>
      <c r="N52" s="40"/>
      <c r="O52" s="40"/>
      <c r="P52" s="40"/>
      <c r="Q52" s="40"/>
    </row>
    <row r="53" spans="1:17" ht="15" x14ac:dyDescent="0.25">
      <c r="A53" s="4">
        <f t="shared" si="5"/>
        <v>48</v>
      </c>
      <c r="B53" s="154"/>
      <c r="C53" s="151"/>
      <c r="D53" s="152"/>
      <c r="E53" s="155"/>
      <c r="F53" s="153"/>
      <c r="G53" s="148"/>
      <c r="H53" s="147"/>
      <c r="I53" s="63" t="str">
        <f t="shared" si="4"/>
        <v/>
      </c>
      <c r="J53" s="44"/>
      <c r="K53" s="43"/>
      <c r="L53" s="75">
        <f>Table1[[#This Row],[Сумма stavki]]-G$5+Table1[[#This Row],[Сумма stavki]]</f>
        <v>-1033</v>
      </c>
      <c r="M53" s="58">
        <f>Table1[[#This Row],[Сумма stavki]]*2</f>
        <v>0</v>
      </c>
      <c r="N53" s="40"/>
      <c r="O53" s="40"/>
      <c r="P53" s="40"/>
      <c r="Q53" s="40"/>
    </row>
    <row r="54" spans="1:17" ht="15" x14ac:dyDescent="0.25">
      <c r="A54" s="4">
        <f t="shared" si="5"/>
        <v>49</v>
      </c>
      <c r="B54" s="154"/>
      <c r="C54" s="151"/>
      <c r="D54" s="152"/>
      <c r="E54" s="155"/>
      <c r="F54" s="153"/>
      <c r="G54" s="148"/>
      <c r="H54" s="147"/>
      <c r="I54" s="63" t="str">
        <f t="shared" si="4"/>
        <v/>
      </c>
      <c r="J54" s="44"/>
      <c r="K54" s="43"/>
      <c r="L54" s="75">
        <f>Table1[[#This Row],[Сумма stavki]]-G$5+Table1[[#This Row],[Сумма stavki]]</f>
        <v>-1033</v>
      </c>
      <c r="M54" s="58">
        <f>Table1[[#This Row],[Сумма stavki]]*2</f>
        <v>0</v>
      </c>
      <c r="N54" s="41"/>
    </row>
    <row r="55" spans="1:17" ht="15" x14ac:dyDescent="0.25">
      <c r="G55" s="34">
        <f>SUM(G6:G54)</f>
        <v>29957</v>
      </c>
      <c r="H55" s="34">
        <f>SUM(H6:H54)</f>
        <v>163214</v>
      </c>
      <c r="I55" s="28"/>
      <c r="J55" s="45"/>
      <c r="K55" s="43"/>
      <c r="L55" s="46"/>
      <c r="M55" s="48"/>
      <c r="N55" s="41"/>
    </row>
    <row r="56" spans="1:17" ht="15" x14ac:dyDescent="0.25">
      <c r="H56" s="15"/>
      <c r="I56" s="28"/>
      <c r="J56" s="32"/>
      <c r="K56" s="43">
        <f>M56*G5</f>
        <v>46485</v>
      </c>
      <c r="L56" s="46"/>
      <c r="M56" s="68">
        <f>COUNT(G6:H54)</f>
        <v>45</v>
      </c>
      <c r="N56" s="24"/>
    </row>
    <row r="57" spans="1:17" ht="15" x14ac:dyDescent="0.25">
      <c r="G57" s="42"/>
      <c r="H57" s="15"/>
      <c r="I57" s="28"/>
      <c r="J57" s="32"/>
      <c r="K57" s="43">
        <f>M57*I2*G5</f>
        <v>179742</v>
      </c>
      <c r="L57" s="46">
        <f>K57/K56</f>
        <v>3.8666666666666667</v>
      </c>
      <c r="M57" s="68">
        <f>COUNT(H6:H54)</f>
        <v>16</v>
      </c>
      <c r="N57" s="24"/>
    </row>
    <row r="58" spans="1:17" ht="15" x14ac:dyDescent="0.25">
      <c r="E58" s="15"/>
      <c r="G58" s="21"/>
      <c r="H58" s="15"/>
      <c r="I58" s="28"/>
      <c r="J58" s="32"/>
      <c r="K58" s="43">
        <f>K57-K56</f>
        <v>133257</v>
      </c>
      <c r="L58" s="46"/>
      <c r="M58" s="48"/>
      <c r="N58" s="24"/>
    </row>
    <row r="59" spans="1:17" ht="15" x14ac:dyDescent="0.25">
      <c r="E59" s="15"/>
      <c r="G59" s="15"/>
      <c r="H59" s="15"/>
      <c r="I59" s="28"/>
      <c r="J59" s="32"/>
      <c r="K59" s="22"/>
      <c r="L59" s="31"/>
      <c r="M59" s="23"/>
      <c r="N59" s="24"/>
    </row>
    <row r="60" spans="1:17" ht="15" x14ac:dyDescent="0.25">
      <c r="G60" s="21"/>
      <c r="H60" s="15"/>
      <c r="I60" s="28"/>
      <c r="J60" s="32"/>
      <c r="K60" s="87">
        <f>M57/(M56/100)/100</f>
        <v>0.35555555555555557</v>
      </c>
      <c r="L60" s="84"/>
      <c r="M60" s="23"/>
      <c r="N60" s="24"/>
    </row>
    <row r="61" spans="1:17" ht="15" x14ac:dyDescent="0.25">
      <c r="G61" s="15"/>
      <c r="H61" s="15"/>
      <c r="I61" s="28"/>
      <c r="J61" s="32"/>
      <c r="K61" s="22"/>
      <c r="L61" s="31"/>
      <c r="M61" s="23"/>
      <c r="N61" s="24"/>
    </row>
    <row r="62" spans="1:17" ht="15" x14ac:dyDescent="0.25">
      <c r="G62" s="15"/>
      <c r="H62" s="15"/>
      <c r="I62" s="28"/>
      <c r="J62" s="32"/>
      <c r="K62" s="22"/>
      <c r="L62" s="31"/>
      <c r="M62" s="23"/>
      <c r="N62" s="24"/>
    </row>
    <row r="63" spans="1:17" ht="15" x14ac:dyDescent="0.25">
      <c r="H63" s="15"/>
      <c r="I63" s="28"/>
      <c r="J63" s="161"/>
      <c r="K63" s="22"/>
      <c r="L63" s="31"/>
      <c r="M63" s="23"/>
      <c r="N63" s="24"/>
    </row>
    <row r="64" spans="1:17" ht="15" x14ac:dyDescent="0.25">
      <c r="H64" s="15"/>
      <c r="I64" s="28"/>
      <c r="J64" s="161"/>
      <c r="K64" s="22"/>
      <c r="L64" s="31"/>
      <c r="M64" s="23"/>
      <c r="N64" s="24"/>
    </row>
    <row r="65" spans="8:14" ht="15" x14ac:dyDescent="0.25">
      <c r="H65" s="15"/>
      <c r="I65" s="28"/>
      <c r="J65" s="161"/>
      <c r="K65" s="28"/>
      <c r="L65" s="31"/>
      <c r="M65" s="23"/>
      <c r="N65" s="24"/>
    </row>
    <row r="66" spans="8:14" ht="15" x14ac:dyDescent="0.25">
      <c r="H66" s="15"/>
      <c r="I66" s="28"/>
      <c r="J66" s="32"/>
      <c r="K66" s="22"/>
      <c r="L66" s="31"/>
      <c r="M66" s="23"/>
      <c r="N66" s="24"/>
    </row>
    <row r="67" spans="8:14" ht="15" x14ac:dyDescent="0.25">
      <c r="J67" s="161"/>
      <c r="K67" s="22"/>
      <c r="L67" s="31"/>
      <c r="M67" s="23"/>
      <c r="N67" s="24"/>
    </row>
    <row r="68" spans="8:14" ht="15" x14ac:dyDescent="0.25">
      <c r="J68" s="161"/>
      <c r="K68" s="22"/>
      <c r="L68" s="31"/>
      <c r="M68" s="23"/>
      <c r="N68" s="24"/>
    </row>
    <row r="69" spans="8:14" ht="15" x14ac:dyDescent="0.25">
      <c r="J69" s="63"/>
      <c r="K69" s="22"/>
      <c r="L69" s="31"/>
      <c r="M69" s="23"/>
      <c r="N69" s="24"/>
    </row>
    <row r="70" spans="8:14" ht="15" x14ac:dyDescent="0.25">
      <c r="J70" s="63"/>
      <c r="K70" s="22"/>
      <c r="L70" s="31"/>
      <c r="M70" s="23"/>
      <c r="N70" s="24"/>
    </row>
    <row r="71" spans="8:14" ht="15" x14ac:dyDescent="0.25">
      <c r="J71" s="32"/>
      <c r="K71" s="22"/>
      <c r="L71" s="31"/>
      <c r="M71" s="23"/>
      <c r="N71" s="24"/>
    </row>
    <row r="72" spans="8:14" ht="15" x14ac:dyDescent="0.25">
      <c r="J72" s="161"/>
      <c r="K72" s="22"/>
      <c r="L72" s="31"/>
      <c r="M72" s="23"/>
      <c r="N72" s="24"/>
    </row>
    <row r="73" spans="8:14" ht="15" x14ac:dyDescent="0.25">
      <c r="J73" s="161"/>
      <c r="K73" s="22"/>
      <c r="L73" s="31"/>
      <c r="M73" s="23"/>
      <c r="N73" s="24"/>
    </row>
    <row r="74" spans="8:14" ht="15" x14ac:dyDescent="0.25">
      <c r="J74" s="167"/>
      <c r="K74" s="22"/>
      <c r="L74" s="31"/>
      <c r="M74" s="23"/>
      <c r="N74" s="24"/>
    </row>
    <row r="75" spans="8:14" ht="15" x14ac:dyDescent="0.25">
      <c r="J75" s="32"/>
      <c r="K75" s="22"/>
      <c r="L75" s="31"/>
      <c r="M75" s="23"/>
      <c r="N75" s="24"/>
    </row>
    <row r="76" spans="8:14" ht="15" x14ac:dyDescent="0.25">
      <c r="J76" s="32"/>
      <c r="K76" s="22"/>
      <c r="L76" s="31"/>
      <c r="M76" s="23"/>
      <c r="N76" s="24"/>
    </row>
    <row r="77" spans="8:14" ht="15" x14ac:dyDescent="0.25">
      <c r="J77" s="32"/>
      <c r="K77" s="22"/>
      <c r="L77" s="31"/>
      <c r="M77" s="23"/>
      <c r="N77" s="24"/>
    </row>
    <row r="78" spans="8:14" ht="15" x14ac:dyDescent="0.25">
      <c r="J78" s="32"/>
      <c r="K78" s="22"/>
      <c r="L78" s="31"/>
      <c r="M78" s="23"/>
      <c r="N78" s="24"/>
    </row>
    <row r="79" spans="8:14" ht="15" x14ac:dyDescent="0.25">
      <c r="J79" s="32"/>
      <c r="K79" s="22"/>
      <c r="L79" s="31"/>
      <c r="M79" s="23"/>
      <c r="N79" s="24"/>
    </row>
    <row r="80" spans="8:14" ht="15" x14ac:dyDescent="0.25">
      <c r="J80" s="32"/>
      <c r="K80" s="22"/>
      <c r="L80" s="31"/>
      <c r="M80" s="23"/>
      <c r="N80" s="24"/>
    </row>
    <row r="81" spans="10:14" ht="15" x14ac:dyDescent="0.25">
      <c r="J81" s="32"/>
      <c r="K81" s="22"/>
      <c r="L81" s="31"/>
      <c r="M81" s="23"/>
      <c r="N81" s="24"/>
    </row>
    <row r="82" spans="10:14" ht="15" x14ac:dyDescent="0.25">
      <c r="J82" s="32"/>
      <c r="K82" s="22"/>
      <c r="L82" s="31"/>
      <c r="M82" s="23"/>
      <c r="N82" s="24"/>
    </row>
    <row r="83" spans="10:14" ht="15" x14ac:dyDescent="0.25">
      <c r="J83" s="32"/>
      <c r="K83" s="22"/>
      <c r="L83" s="31"/>
      <c r="M83" s="23"/>
      <c r="N83" s="24"/>
    </row>
    <row r="84" spans="10:14" ht="15" x14ac:dyDescent="0.25">
      <c r="J84" s="32"/>
      <c r="K84" s="22"/>
      <c r="L84" s="31"/>
      <c r="M84" s="23"/>
      <c r="N84" s="24"/>
    </row>
    <row r="85" spans="10:14" ht="15" x14ac:dyDescent="0.25">
      <c r="J85" s="32"/>
      <c r="K85" s="22"/>
      <c r="L85" s="31"/>
      <c r="M85" s="23"/>
      <c r="N85" s="24"/>
    </row>
    <row r="86" spans="10:14" x14ac:dyDescent="0.25">
      <c r="L86" s="22"/>
      <c r="M86" s="24"/>
      <c r="N86" s="24"/>
    </row>
    <row r="87" spans="10:14" x14ac:dyDescent="0.25">
      <c r="L87" s="22"/>
      <c r="M87" s="24"/>
      <c r="N87" s="24"/>
    </row>
    <row r="88" spans="10:14" x14ac:dyDescent="0.25">
      <c r="L88" s="22"/>
      <c r="M88" s="24"/>
      <c r="N88" s="24"/>
    </row>
    <row r="89" spans="10:14" x14ac:dyDescent="0.25">
      <c r="L89" s="22"/>
      <c r="M89" s="24"/>
      <c r="N89" s="24"/>
    </row>
    <row r="90" spans="10:14" x14ac:dyDescent="0.25">
      <c r="L90" s="22"/>
      <c r="M90" s="24"/>
      <c r="N90" s="24"/>
    </row>
    <row r="91" spans="10:14" x14ac:dyDescent="0.25">
      <c r="L91" s="22"/>
      <c r="M91" s="24"/>
      <c r="N91" s="24"/>
    </row>
    <row r="92" spans="10:14" x14ac:dyDescent="0.25">
      <c r="L92" s="22"/>
      <c r="M92" s="24"/>
      <c r="N92" s="24"/>
    </row>
    <row r="93" spans="10:14" x14ac:dyDescent="0.25">
      <c r="L93" s="22"/>
      <c r="M93" s="24"/>
      <c r="N93" s="24"/>
    </row>
    <row r="94" spans="10:14" x14ac:dyDescent="0.25">
      <c r="L94" s="22"/>
      <c r="M94" s="24"/>
      <c r="N94" s="24"/>
    </row>
    <row r="95" spans="10:14" x14ac:dyDescent="0.25">
      <c r="L95" s="22"/>
      <c r="M95" s="24"/>
      <c r="N95" s="24"/>
    </row>
    <row r="96" spans="10:14" x14ac:dyDescent="0.25">
      <c r="L96" s="22"/>
      <c r="M96" s="24"/>
      <c r="N96" s="24"/>
    </row>
    <row r="97" spans="12:14" x14ac:dyDescent="0.25">
      <c r="L97" s="22"/>
      <c r="M97" s="24"/>
      <c r="N97" s="24"/>
    </row>
    <row r="631" spans="25:25" x14ac:dyDescent="0.25">
      <c r="Y631" s="4">
        <f>SUM(Y624:Y629)</f>
        <v>0</v>
      </c>
    </row>
  </sheetData>
  <conditionalFormatting sqref="O6:O3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{CB5DD38D-8174-4A03-AFF5-1DAE7DE91D52}</x14:id>
        </ext>
      </extLst>
    </cfRule>
  </conditionalFormatting>
  <conditionalFormatting sqref="I55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{C05412F4-340A-44C9-8F2B-57569861A201}</x14:id>
        </ext>
      </extLst>
    </cfRule>
  </conditionalFormatting>
  <conditionalFormatting sqref="I6:I54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{8EC57696-ABDE-4785-9CF1-F4F86DDBAF27}</x14:id>
        </ext>
      </extLst>
    </cfRule>
    <cfRule type="iconSet" priority="8">
      <iconSet iconSet="3Flags">
        <cfvo type="percent" val="0"/>
        <cfvo type="percent" val="33"/>
        <cfvo type="percent" val="67"/>
      </iconSet>
    </cfRule>
  </conditionalFormatting>
  <conditionalFormatting sqref="M6:M54"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I6:I54">
    <cfRule type="iconSet" priority="2">
      <iconSet iconSet="3Flag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5DD38D-8174-4A03-AFF5-1DAE7DE91D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O6:O30</xm:sqref>
        </x14:conditionalFormatting>
        <x14:conditionalFormatting xmlns:xm="http://schemas.microsoft.com/office/excel/2006/main">
          <x14:cfRule type="dataBar" id="{C05412F4-340A-44C9-8F2B-57569861A20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I55</xm:sqref>
        </x14:conditionalFormatting>
        <x14:conditionalFormatting xmlns:xm="http://schemas.microsoft.com/office/excel/2006/main">
          <x14:cfRule type="dataBar" id="{8EC57696-ABDE-4785-9CF1-F4F86DDBAF2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I6:I54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80EC-1F8A-4AC9-A953-3CB70FCED35E}"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S208"/>
  <sheetViews>
    <sheetView workbookViewId="0">
      <pane ySplit="2" topLeftCell="A188" activePane="bottomLeft" state="frozen"/>
      <selection pane="bottomLeft" activeCell="B3" sqref="B3:C208"/>
    </sheetView>
  </sheetViews>
  <sheetFormatPr defaultRowHeight="15" x14ac:dyDescent="0.25"/>
  <cols>
    <col min="2" max="2" width="9.140625" style="85"/>
    <col min="3" max="3" width="5" style="85" bestFit="1" customWidth="1"/>
    <col min="4" max="5" width="8.85546875" style="85" customWidth="1"/>
    <col min="6" max="6" width="8.85546875" style="111" customWidth="1"/>
    <col min="7" max="8" width="7.140625" style="122" customWidth="1"/>
    <col min="9" max="9" width="8.85546875" style="111" customWidth="1"/>
    <col min="10" max="10" width="8.85546875" style="111" hidden="1" customWidth="1"/>
    <col min="11" max="11" width="8.42578125" style="85" hidden="1" customWidth="1"/>
    <col min="12" max="12" width="8.42578125" style="85" customWidth="1"/>
    <col min="13" max="13" width="8.42578125" style="117" customWidth="1"/>
    <col min="14" max="14" width="8.42578125" style="85" customWidth="1"/>
    <col min="15" max="15" width="9.140625" style="85"/>
  </cols>
  <sheetData>
    <row r="1" spans="2:17" x14ac:dyDescent="0.25">
      <c r="B1" s="85">
        <f>COUNT(B3:B208)</f>
        <v>206</v>
      </c>
      <c r="F1" s="117">
        <f>SUM(G3:G210)</f>
        <v>130.63679999999997</v>
      </c>
      <c r="G1" s="117">
        <f>SUM(H3:H210)</f>
        <v>124.432</v>
      </c>
      <c r="H1" s="117"/>
      <c r="I1" s="117">
        <f>SUM(I3:I210)</f>
        <v>256.49999999999966</v>
      </c>
      <c r="J1" s="117">
        <f>SUM(J3:J210)</f>
        <v>12191.039999999995</v>
      </c>
      <c r="K1" s="117"/>
      <c r="L1" s="117">
        <f>SUM(L3:L210)</f>
        <v>22425</v>
      </c>
      <c r="N1" s="117"/>
      <c r="O1" s="116"/>
    </row>
    <row r="2" spans="2:17" x14ac:dyDescent="0.25">
      <c r="B2" s="105"/>
      <c r="C2" s="105"/>
      <c r="D2" s="105"/>
      <c r="E2" s="105"/>
      <c r="F2" s="110"/>
      <c r="G2" s="119"/>
      <c r="H2" s="119"/>
      <c r="I2" s="110"/>
      <c r="J2" s="110"/>
      <c r="K2" s="105"/>
      <c r="L2" s="105"/>
      <c r="M2" s="112"/>
      <c r="N2" s="105"/>
      <c r="O2" s="116"/>
    </row>
    <row r="3" spans="2:17" x14ac:dyDescent="0.25">
      <c r="B3" s="105">
        <v>540</v>
      </c>
      <c r="C3" s="105">
        <v>7.1</v>
      </c>
      <c r="D3" s="115"/>
      <c r="E3" s="105"/>
      <c r="F3" s="110">
        <v>1.44</v>
      </c>
      <c r="G3" s="121"/>
      <c r="H3" s="121"/>
      <c r="I3" s="112"/>
      <c r="J3" s="112"/>
      <c r="K3" s="112"/>
      <c r="L3" s="105"/>
      <c r="M3" s="105"/>
      <c r="N3" s="112"/>
    </row>
    <row r="4" spans="2:17" x14ac:dyDescent="0.25">
      <c r="B4" s="105">
        <v>541</v>
      </c>
      <c r="C4" s="105">
        <v>7.1</v>
      </c>
      <c r="D4" s="115"/>
      <c r="E4" s="105"/>
      <c r="F4" s="110">
        <v>1.44</v>
      </c>
      <c r="G4" s="121">
        <f>F4*F5</f>
        <v>2.0735999999999999</v>
      </c>
      <c r="H4" s="121"/>
      <c r="I4" s="115">
        <v>2.85</v>
      </c>
      <c r="J4" s="112">
        <f t="shared" ref="J4:J12" si="0">300*G4-300</f>
        <v>322.07999999999993</v>
      </c>
      <c r="K4" s="112"/>
      <c r="L4" s="112">
        <f>150*I4-150</f>
        <v>277.5</v>
      </c>
      <c r="M4" s="112">
        <f>SUBTOTAL(9,L$4:L4)</f>
        <v>277.5</v>
      </c>
      <c r="N4" s="112"/>
    </row>
    <row r="5" spans="2:17" x14ac:dyDescent="0.25">
      <c r="B5" s="105">
        <v>542</v>
      </c>
      <c r="C5" s="105">
        <v>6.1</v>
      </c>
      <c r="D5" s="115"/>
      <c r="E5" s="105"/>
      <c r="F5" s="110">
        <v>1.44</v>
      </c>
      <c r="G5" s="121">
        <f t="shared" ref="G5:G11" si="1">F5*F6</f>
        <v>2.0735999999999999</v>
      </c>
      <c r="H5" s="121"/>
      <c r="I5" s="115">
        <v>2.85</v>
      </c>
      <c r="J5" s="112">
        <f t="shared" si="0"/>
        <v>322.07999999999993</v>
      </c>
      <c r="K5" s="112">
        <f>SUM(J$3:J5)</f>
        <v>644.15999999999985</v>
      </c>
      <c r="L5" s="112">
        <f t="shared" ref="L5:L12" si="2">150*I5-150</f>
        <v>277.5</v>
      </c>
      <c r="M5" s="112">
        <f>SUBTOTAL(9,L$4:L5)</f>
        <v>555</v>
      </c>
      <c r="N5" s="112"/>
    </row>
    <row r="6" spans="2:17" x14ac:dyDescent="0.25">
      <c r="B6" s="105">
        <v>543</v>
      </c>
      <c r="C6" s="105">
        <v>7.1</v>
      </c>
      <c r="D6" s="115"/>
      <c r="E6" s="105"/>
      <c r="F6" s="110">
        <v>1.44</v>
      </c>
      <c r="G6" s="121">
        <f t="shared" si="1"/>
        <v>2.0735999999999999</v>
      </c>
      <c r="H6" s="121"/>
      <c r="I6" s="115">
        <v>2.85</v>
      </c>
      <c r="J6" s="112">
        <f t="shared" si="0"/>
        <v>322.07999999999993</v>
      </c>
      <c r="K6" s="112">
        <f>SUM(J$3:J6)</f>
        <v>966.23999999999978</v>
      </c>
      <c r="L6" s="112">
        <f t="shared" si="2"/>
        <v>277.5</v>
      </c>
      <c r="M6" s="112">
        <f>SUBTOTAL(9,L$4:L6)</f>
        <v>832.5</v>
      </c>
      <c r="N6" s="112"/>
      <c r="Q6" s="82"/>
    </row>
    <row r="7" spans="2:17" x14ac:dyDescent="0.25">
      <c r="B7" s="105">
        <v>544</v>
      </c>
      <c r="C7" s="105">
        <v>7.1</v>
      </c>
      <c r="D7" s="115"/>
      <c r="E7" s="105"/>
      <c r="F7" s="110">
        <v>1.44</v>
      </c>
      <c r="G7" s="121">
        <f t="shared" si="1"/>
        <v>2.0735999999999999</v>
      </c>
      <c r="H7" s="121"/>
      <c r="I7" s="115">
        <v>2.85</v>
      </c>
      <c r="J7" s="112">
        <f t="shared" si="0"/>
        <v>322.07999999999993</v>
      </c>
      <c r="K7" s="112">
        <f>SUM(J$3:J7)</f>
        <v>1288.3199999999997</v>
      </c>
      <c r="L7" s="112">
        <f t="shared" si="2"/>
        <v>277.5</v>
      </c>
      <c r="M7" s="112">
        <f>SUBTOTAL(9,L$4:L7)</f>
        <v>1110</v>
      </c>
      <c r="N7" s="112"/>
    </row>
    <row r="8" spans="2:17" x14ac:dyDescent="0.25">
      <c r="B8" s="105">
        <v>545</v>
      </c>
      <c r="C8" s="105">
        <v>6.1</v>
      </c>
      <c r="D8" s="115"/>
      <c r="E8" s="105"/>
      <c r="F8" s="110">
        <v>1.44</v>
      </c>
      <c r="G8" s="121">
        <f t="shared" si="1"/>
        <v>2.0735999999999999</v>
      </c>
      <c r="H8" s="121"/>
      <c r="I8" s="115">
        <v>2.85</v>
      </c>
      <c r="J8" s="112">
        <f t="shared" si="0"/>
        <v>322.07999999999993</v>
      </c>
      <c r="K8" s="112">
        <f>SUM(J$3:J8)</f>
        <v>1610.3999999999996</v>
      </c>
      <c r="L8" s="112">
        <f t="shared" si="2"/>
        <v>277.5</v>
      </c>
      <c r="M8" s="112">
        <f>SUBTOTAL(9,L$4:L8)</f>
        <v>1387.5</v>
      </c>
      <c r="N8" s="112"/>
    </row>
    <row r="9" spans="2:17" x14ac:dyDescent="0.25">
      <c r="B9" s="105">
        <v>546</v>
      </c>
      <c r="C9" s="105">
        <v>9.0500000000000007</v>
      </c>
      <c r="D9" s="115"/>
      <c r="E9" s="105"/>
      <c r="F9" s="110">
        <v>1.44</v>
      </c>
      <c r="G9" s="121">
        <f t="shared" si="1"/>
        <v>2.0735999999999999</v>
      </c>
      <c r="H9" s="121"/>
      <c r="I9" s="115">
        <v>2.85</v>
      </c>
      <c r="J9" s="112">
        <f t="shared" si="0"/>
        <v>322.07999999999993</v>
      </c>
      <c r="K9" s="112">
        <f>SUM(J$3:J9)</f>
        <v>1932.4799999999996</v>
      </c>
      <c r="L9" s="112">
        <f t="shared" si="2"/>
        <v>277.5</v>
      </c>
      <c r="M9" s="112">
        <f>SUBTOTAL(9,L$4:L9)</f>
        <v>1665</v>
      </c>
      <c r="N9" s="112"/>
    </row>
    <row r="10" spans="2:17" x14ac:dyDescent="0.25">
      <c r="B10" s="103">
        <v>547</v>
      </c>
      <c r="C10" s="105">
        <v>5.9</v>
      </c>
      <c r="D10" s="115"/>
      <c r="E10" s="105"/>
      <c r="F10" s="110">
        <v>1.44</v>
      </c>
      <c r="G10" s="121">
        <f t="shared" si="1"/>
        <v>2.0735999999999999</v>
      </c>
      <c r="H10" s="121"/>
      <c r="I10" s="115">
        <v>2.85</v>
      </c>
      <c r="J10" s="112">
        <f t="shared" si="0"/>
        <v>322.07999999999993</v>
      </c>
      <c r="K10" s="112">
        <f>SUM(J$3:J10)</f>
        <v>2254.5599999999995</v>
      </c>
      <c r="L10" s="112">
        <f t="shared" si="2"/>
        <v>277.5</v>
      </c>
      <c r="M10" s="112">
        <f>SUBTOTAL(9,L$4:L10)</f>
        <v>1942.5</v>
      </c>
      <c r="N10" s="112"/>
    </row>
    <row r="11" spans="2:17" x14ac:dyDescent="0.25">
      <c r="B11" s="105">
        <v>548</v>
      </c>
      <c r="C11" s="105">
        <v>9.0500000000000007</v>
      </c>
      <c r="D11" s="115"/>
      <c r="E11" s="105"/>
      <c r="F11" s="110">
        <v>1.44</v>
      </c>
      <c r="G11" s="121">
        <f t="shared" si="1"/>
        <v>2.0735999999999999</v>
      </c>
      <c r="H11" s="121"/>
      <c r="I11" s="115">
        <v>2.85</v>
      </c>
      <c r="J11" s="112">
        <f t="shared" si="0"/>
        <v>322.07999999999993</v>
      </c>
      <c r="K11" s="112">
        <f>SUM(J$3:J11)</f>
        <v>2576.6399999999994</v>
      </c>
      <c r="L11" s="112">
        <f t="shared" si="2"/>
        <v>277.5</v>
      </c>
      <c r="M11" s="112">
        <f>SUBTOTAL(9,L$4:L11)</f>
        <v>2220</v>
      </c>
      <c r="N11" s="112"/>
    </row>
    <row r="12" spans="2:17" x14ac:dyDescent="0.25">
      <c r="B12" s="103">
        <v>549</v>
      </c>
      <c r="C12" s="105">
        <v>5.9</v>
      </c>
      <c r="D12" s="115"/>
      <c r="E12" s="105"/>
      <c r="F12" s="110">
        <v>1.44</v>
      </c>
      <c r="G12" s="121"/>
      <c r="H12" s="121">
        <f>F12*3.2</f>
        <v>4.6079999999999997</v>
      </c>
      <c r="I12" s="129">
        <v>2.85</v>
      </c>
      <c r="J12" s="112">
        <f t="shared" si="0"/>
        <v>-300</v>
      </c>
      <c r="K12" s="112">
        <f>SUM(J$3:J12)</f>
        <v>2276.6399999999994</v>
      </c>
      <c r="L12" s="112">
        <f t="shared" si="2"/>
        <v>277.5</v>
      </c>
      <c r="M12" s="112">
        <f>SUBTOTAL(9,L$4:L12)</f>
        <v>2497.5</v>
      </c>
      <c r="N12" s="112"/>
    </row>
    <row r="13" spans="2:17" x14ac:dyDescent="0.25">
      <c r="B13" s="103">
        <v>550</v>
      </c>
      <c r="C13" s="104">
        <v>3.2</v>
      </c>
      <c r="D13" s="105"/>
      <c r="E13" s="105"/>
      <c r="F13" s="110"/>
      <c r="G13" s="121"/>
      <c r="H13" s="121"/>
      <c r="I13" s="112"/>
      <c r="J13" s="112"/>
      <c r="K13" s="112">
        <f>SUM(J$3:J13)</f>
        <v>2276.6399999999994</v>
      </c>
      <c r="L13" s="105"/>
      <c r="M13" s="105"/>
      <c r="N13" s="112"/>
    </row>
    <row r="14" spans="2:17" x14ac:dyDescent="0.25">
      <c r="B14" s="103">
        <v>551</v>
      </c>
      <c r="C14" s="105">
        <v>5.9</v>
      </c>
      <c r="D14" s="115"/>
      <c r="E14" s="105"/>
      <c r="F14" s="110">
        <v>1.44</v>
      </c>
      <c r="G14" s="121"/>
      <c r="H14" s="121"/>
      <c r="I14" s="112"/>
      <c r="J14" s="112"/>
      <c r="K14" s="112">
        <f>SUM(J$3:J14)</f>
        <v>2276.6399999999994</v>
      </c>
      <c r="L14" s="105"/>
      <c r="M14" s="105"/>
      <c r="N14" s="112"/>
    </row>
    <row r="15" spans="2:17" x14ac:dyDescent="0.25">
      <c r="B15" s="103">
        <v>552</v>
      </c>
      <c r="C15" s="104">
        <v>3.2</v>
      </c>
      <c r="D15" s="105"/>
      <c r="E15" s="105"/>
      <c r="F15" s="110"/>
      <c r="G15" s="121">
        <v>0</v>
      </c>
      <c r="H15" s="121"/>
      <c r="I15" s="112">
        <v>0</v>
      </c>
      <c r="J15" s="112"/>
      <c r="K15" s="112">
        <f>SUM(J$3:J15)</f>
        <v>2276.6399999999994</v>
      </c>
      <c r="L15" s="112">
        <f>150*I15-150</f>
        <v>-150</v>
      </c>
      <c r="M15" s="112">
        <f>SUBTOTAL(9,L$4:L15)</f>
        <v>2347.5</v>
      </c>
      <c r="N15" s="112"/>
    </row>
    <row r="16" spans="2:17" x14ac:dyDescent="0.25">
      <c r="B16" s="105">
        <v>553</v>
      </c>
      <c r="C16" s="105">
        <v>7.1</v>
      </c>
      <c r="D16" s="115"/>
      <c r="E16" s="105"/>
      <c r="F16" s="110">
        <v>1.44</v>
      </c>
      <c r="G16" s="121"/>
      <c r="H16" s="121"/>
      <c r="I16" s="112"/>
      <c r="J16" s="112"/>
      <c r="K16" s="112">
        <f>SUM(J$3:J16)</f>
        <v>2276.6399999999994</v>
      </c>
      <c r="L16" s="105"/>
      <c r="M16" s="105"/>
      <c r="N16" s="112"/>
    </row>
    <row r="17" spans="2:17" x14ac:dyDescent="0.25">
      <c r="B17" s="103">
        <v>554</v>
      </c>
      <c r="C17" s="104">
        <v>3.2</v>
      </c>
      <c r="D17" s="105"/>
      <c r="E17" s="105"/>
      <c r="F17" s="110"/>
      <c r="G17" s="121">
        <v>0</v>
      </c>
      <c r="H17" s="121"/>
      <c r="I17" s="112">
        <v>0</v>
      </c>
      <c r="J17" s="112"/>
      <c r="K17" s="112">
        <f>SUM(J$3:J17)</f>
        <v>2276.6399999999994</v>
      </c>
      <c r="L17" s="112">
        <f>150*I17-150</f>
        <v>-150</v>
      </c>
      <c r="M17" s="112">
        <f>SUBTOTAL(9,L$4:L17)</f>
        <v>2197.5</v>
      </c>
      <c r="N17" s="112"/>
    </row>
    <row r="18" spans="2:17" x14ac:dyDescent="0.25">
      <c r="B18" s="105">
        <v>555</v>
      </c>
      <c r="C18" s="105">
        <v>7.1</v>
      </c>
      <c r="D18" s="115"/>
      <c r="E18" s="105"/>
      <c r="F18" s="110">
        <v>1.44</v>
      </c>
      <c r="G18" s="121"/>
      <c r="H18" s="121"/>
      <c r="I18" s="112"/>
      <c r="J18" s="115"/>
      <c r="K18" s="112">
        <f>SUM(J$3:J18)</f>
        <v>2276.6399999999994</v>
      </c>
      <c r="L18" s="105"/>
      <c r="M18" s="105"/>
      <c r="N18" s="112"/>
    </row>
    <row r="19" spans="2:17" x14ac:dyDescent="0.25">
      <c r="B19" s="103">
        <v>556</v>
      </c>
      <c r="C19" s="104">
        <v>3.2</v>
      </c>
      <c r="D19" s="105"/>
      <c r="E19" s="105"/>
      <c r="F19" s="110"/>
      <c r="G19" s="121">
        <v>0</v>
      </c>
      <c r="H19" s="121"/>
      <c r="I19" s="112">
        <v>0</v>
      </c>
      <c r="J19" s="115"/>
      <c r="K19" s="112">
        <f>SUM(J$3:J19)</f>
        <v>2276.6399999999994</v>
      </c>
      <c r="L19" s="112">
        <f>150*I19-150</f>
        <v>-150</v>
      </c>
      <c r="M19" s="112">
        <f>SUBTOTAL(9,L$4:L19)</f>
        <v>2047.5</v>
      </c>
      <c r="N19" s="112"/>
      <c r="Q19" s="82"/>
    </row>
    <row r="20" spans="2:17" x14ac:dyDescent="0.25">
      <c r="B20" s="105">
        <v>557</v>
      </c>
      <c r="C20" s="105">
        <v>7.1</v>
      </c>
      <c r="D20" s="115"/>
      <c r="E20" s="105"/>
      <c r="F20" s="110">
        <v>1.44</v>
      </c>
      <c r="G20" s="121"/>
      <c r="H20" s="121"/>
      <c r="I20" s="112"/>
      <c r="J20" s="115"/>
      <c r="K20" s="112">
        <f>SUM(J$3:J20)</f>
        <v>2276.6399999999994</v>
      </c>
      <c r="L20" s="105"/>
      <c r="M20" s="105"/>
      <c r="N20" s="112"/>
    </row>
    <row r="21" spans="2:17" x14ac:dyDescent="0.25">
      <c r="B21" s="103">
        <v>558</v>
      </c>
      <c r="C21" s="104">
        <v>3.2</v>
      </c>
      <c r="D21" s="105"/>
      <c r="E21" s="105"/>
      <c r="F21" s="110"/>
      <c r="G21" s="121">
        <v>0</v>
      </c>
      <c r="H21" s="121"/>
      <c r="I21" s="112">
        <v>0</v>
      </c>
      <c r="J21" s="119"/>
      <c r="K21" s="112">
        <f>SUM(J$3:J21)</f>
        <v>2276.6399999999994</v>
      </c>
      <c r="L21" s="112">
        <f>150*I21-150</f>
        <v>-150</v>
      </c>
      <c r="M21" s="112">
        <f>SUBTOTAL(9,L$4:L21)</f>
        <v>1897.5</v>
      </c>
      <c r="N21" s="112"/>
    </row>
    <row r="22" spans="2:17" x14ac:dyDescent="0.25">
      <c r="B22" s="103">
        <v>559</v>
      </c>
      <c r="C22" s="104">
        <v>3.2</v>
      </c>
      <c r="D22" s="105"/>
      <c r="E22" s="105"/>
      <c r="F22" s="110"/>
      <c r="G22" s="121"/>
      <c r="H22" s="121"/>
      <c r="I22" s="112"/>
      <c r="J22" s="115"/>
      <c r="K22" s="112">
        <f>SUM(J$3:J22)</f>
        <v>2276.6399999999994</v>
      </c>
      <c r="L22" s="105"/>
      <c r="M22" s="105"/>
      <c r="N22" s="112"/>
    </row>
    <row r="23" spans="2:17" x14ac:dyDescent="0.25">
      <c r="B23" s="105">
        <v>560</v>
      </c>
      <c r="C23" s="105">
        <v>9.0500000000000007</v>
      </c>
      <c r="D23" s="115"/>
      <c r="E23" s="105"/>
      <c r="F23" s="110">
        <v>1.44</v>
      </c>
      <c r="G23" s="121"/>
      <c r="H23" s="121"/>
      <c r="I23" s="112"/>
      <c r="J23" s="115"/>
      <c r="K23" s="112">
        <f>SUM(J$3:J23)</f>
        <v>2276.6399999999994</v>
      </c>
      <c r="L23" s="105"/>
      <c r="M23" s="105"/>
      <c r="N23" s="112"/>
    </row>
    <row r="24" spans="2:17" x14ac:dyDescent="0.25">
      <c r="B24" s="105">
        <v>561</v>
      </c>
      <c r="C24" s="105">
        <v>6.1</v>
      </c>
      <c r="D24" s="115"/>
      <c r="E24" s="105"/>
      <c r="F24" s="110">
        <v>1.44</v>
      </c>
      <c r="G24" s="121">
        <f>F24*F25</f>
        <v>2.0735999999999999</v>
      </c>
      <c r="H24" s="121"/>
      <c r="I24" s="115">
        <v>2.85</v>
      </c>
      <c r="J24" s="112">
        <f>300*G24-300</f>
        <v>322.07999999999993</v>
      </c>
      <c r="K24" s="112">
        <f>SUM(J$3:J24)</f>
        <v>2598.7199999999993</v>
      </c>
      <c r="L24" s="112">
        <f>150*I24-150</f>
        <v>277.5</v>
      </c>
      <c r="M24" s="112">
        <f>SUBTOTAL(9,L$4:L24)</f>
        <v>2175</v>
      </c>
      <c r="N24" s="112"/>
      <c r="O24" s="116"/>
    </row>
    <row r="25" spans="2:17" x14ac:dyDescent="0.25">
      <c r="B25" s="105">
        <v>562</v>
      </c>
      <c r="C25" s="105">
        <v>9.0500000000000007</v>
      </c>
      <c r="D25" s="115"/>
      <c r="E25" s="105"/>
      <c r="F25" s="110">
        <v>1.44</v>
      </c>
      <c r="G25" s="121"/>
      <c r="H25" s="121">
        <f>F25*3.2</f>
        <v>4.6079999999999997</v>
      </c>
      <c r="I25" s="129">
        <v>2.85</v>
      </c>
      <c r="J25" s="112">
        <f>300*G25-300</f>
        <v>-300</v>
      </c>
      <c r="K25" s="112">
        <f>SUM(J$3:J25)</f>
        <v>2298.7199999999993</v>
      </c>
      <c r="L25" s="112">
        <f>150*I25-150</f>
        <v>277.5</v>
      </c>
      <c r="M25" s="112">
        <f>SUBTOTAL(9,L$4:L25)</f>
        <v>2452.5</v>
      </c>
      <c r="N25" s="112"/>
    </row>
    <row r="26" spans="2:17" x14ac:dyDescent="0.25">
      <c r="B26" s="103">
        <v>563</v>
      </c>
      <c r="C26" s="104">
        <v>3.2</v>
      </c>
      <c r="D26" s="105"/>
      <c r="E26" s="105"/>
      <c r="F26" s="110"/>
      <c r="G26" s="121"/>
      <c r="H26" s="121"/>
      <c r="I26" s="112"/>
      <c r="J26" s="115"/>
      <c r="K26" s="112">
        <f>SUM(J$3:J26)</f>
        <v>2298.7199999999993</v>
      </c>
      <c r="L26" s="105"/>
      <c r="M26" s="105"/>
      <c r="N26" s="112"/>
    </row>
    <row r="27" spans="2:17" x14ac:dyDescent="0.25">
      <c r="B27" s="105">
        <v>564</v>
      </c>
      <c r="C27" s="105">
        <v>9.0500000000000007</v>
      </c>
      <c r="D27" s="115"/>
      <c r="E27" s="105"/>
      <c r="F27" s="110">
        <v>1.44</v>
      </c>
      <c r="G27" s="121"/>
      <c r="H27" s="121"/>
      <c r="I27" s="112"/>
      <c r="J27" s="115"/>
      <c r="K27" s="112">
        <f>SUM(J$3:J27)</f>
        <v>2298.7199999999993</v>
      </c>
      <c r="L27" s="105"/>
      <c r="M27" s="105"/>
      <c r="N27" s="112"/>
    </row>
    <row r="28" spans="2:17" x14ac:dyDescent="0.25">
      <c r="B28" s="103">
        <v>565</v>
      </c>
      <c r="C28" s="105">
        <v>5.9</v>
      </c>
      <c r="D28" s="115"/>
      <c r="E28" s="105"/>
      <c r="F28" s="110">
        <v>1.44</v>
      </c>
      <c r="G28" s="121">
        <f>F28*F29</f>
        <v>2.0735999999999999</v>
      </c>
      <c r="H28" s="121"/>
      <c r="I28" s="115">
        <v>2.85</v>
      </c>
      <c r="J28" s="112">
        <f>300*G28-300</f>
        <v>322.07999999999993</v>
      </c>
      <c r="K28" s="112">
        <f>SUM(J$3:J28)</f>
        <v>2620.7999999999993</v>
      </c>
      <c r="L28" s="112">
        <f>150*I28-150</f>
        <v>277.5</v>
      </c>
      <c r="M28" s="112">
        <f>SUBTOTAL(9,L$4:L28)</f>
        <v>2730</v>
      </c>
      <c r="N28" s="112"/>
    </row>
    <row r="29" spans="2:17" x14ac:dyDescent="0.25">
      <c r="B29" s="105">
        <v>566</v>
      </c>
      <c r="C29" s="105">
        <v>6.1</v>
      </c>
      <c r="D29" s="115"/>
      <c r="E29" s="105"/>
      <c r="F29" s="110">
        <v>1.44</v>
      </c>
      <c r="G29" s="121">
        <f>F29*F30</f>
        <v>2.0735999999999999</v>
      </c>
      <c r="H29" s="121"/>
      <c r="I29" s="115">
        <v>2.85</v>
      </c>
      <c r="J29" s="112">
        <f>300*G29-300</f>
        <v>322.07999999999993</v>
      </c>
      <c r="K29" s="112">
        <f>SUM(J$3:J29)</f>
        <v>2942.8799999999992</v>
      </c>
      <c r="L29" s="112">
        <f>150*I29-150</f>
        <v>277.5</v>
      </c>
      <c r="M29" s="112">
        <f>SUBTOTAL(9,L$4:L29)</f>
        <v>3007.5</v>
      </c>
      <c r="N29" s="112"/>
    </row>
    <row r="30" spans="2:17" x14ac:dyDescent="0.25">
      <c r="B30" s="105">
        <v>567</v>
      </c>
      <c r="C30" s="105">
        <v>7.1</v>
      </c>
      <c r="D30" s="115"/>
      <c r="E30" s="105"/>
      <c r="F30" s="110">
        <v>1.44</v>
      </c>
      <c r="G30" s="121">
        <f>F30*F31</f>
        <v>2.0735999999999999</v>
      </c>
      <c r="H30" s="121"/>
      <c r="I30" s="115">
        <v>2.85</v>
      </c>
      <c r="J30" s="112">
        <f>300*G30-300</f>
        <v>322.07999999999993</v>
      </c>
      <c r="K30" s="112">
        <f>SUM(J$3:J30)</f>
        <v>3264.9599999999991</v>
      </c>
      <c r="L30" s="112">
        <f>150*I30-150</f>
        <v>277.5</v>
      </c>
      <c r="M30" s="112">
        <f>SUBTOTAL(9,L$4:L30)</f>
        <v>3285</v>
      </c>
      <c r="N30" s="112"/>
    </row>
    <row r="31" spans="2:17" x14ac:dyDescent="0.25">
      <c r="B31" s="103">
        <v>568</v>
      </c>
      <c r="C31" s="105">
        <v>5.9</v>
      </c>
      <c r="D31" s="115"/>
      <c r="E31" s="105"/>
      <c r="F31" s="110">
        <v>1.44</v>
      </c>
      <c r="G31" s="121">
        <f>F31*F32</f>
        <v>2.0735999999999999</v>
      </c>
      <c r="H31" s="121"/>
      <c r="I31" s="115">
        <v>2.85</v>
      </c>
      <c r="J31" s="112">
        <f>300*G31-300</f>
        <v>322.07999999999993</v>
      </c>
      <c r="K31" s="112">
        <f>SUM(J$3:J31)</f>
        <v>3587.0399999999991</v>
      </c>
      <c r="L31" s="112">
        <f>150*I31-150</f>
        <v>277.5</v>
      </c>
      <c r="M31" s="112">
        <f>SUBTOTAL(9,L$4:L31)</f>
        <v>3562.5</v>
      </c>
      <c r="N31" s="112"/>
    </row>
    <row r="32" spans="2:17" x14ac:dyDescent="0.25">
      <c r="B32" s="105">
        <v>569</v>
      </c>
      <c r="C32" s="105">
        <v>9.0500000000000007</v>
      </c>
      <c r="D32" s="115"/>
      <c r="E32" s="105"/>
      <c r="F32" s="110">
        <v>1.44</v>
      </c>
      <c r="G32" s="121"/>
      <c r="H32" s="121">
        <f>F32*3.2</f>
        <v>4.6079999999999997</v>
      </c>
      <c r="I32" s="129">
        <v>2.85</v>
      </c>
      <c r="J32" s="112">
        <f>300*G32-300</f>
        <v>-300</v>
      </c>
      <c r="K32" s="112">
        <f>SUM(J$3:J32)</f>
        <v>3287.0399999999991</v>
      </c>
      <c r="L32" s="112">
        <f>150*I32-150</f>
        <v>277.5</v>
      </c>
      <c r="M32" s="112">
        <f>SUBTOTAL(9,L$4:L32)</f>
        <v>3840</v>
      </c>
      <c r="N32" s="112"/>
    </row>
    <row r="33" spans="2:19" x14ac:dyDescent="0.25">
      <c r="B33" s="103">
        <v>570</v>
      </c>
      <c r="C33" s="104">
        <v>3.2</v>
      </c>
      <c r="D33" s="105"/>
      <c r="E33" s="105"/>
      <c r="F33" s="110"/>
      <c r="G33" s="121"/>
      <c r="H33" s="121"/>
      <c r="I33" s="112"/>
      <c r="J33" s="115"/>
      <c r="K33" s="112">
        <f>SUM(J$3:J33)</f>
        <v>3287.0399999999991</v>
      </c>
      <c r="L33" s="105"/>
      <c r="M33" s="105"/>
      <c r="N33" s="112"/>
    </row>
    <row r="34" spans="2:19" x14ac:dyDescent="0.25">
      <c r="B34" s="103">
        <v>571</v>
      </c>
      <c r="C34" s="105">
        <v>5.9</v>
      </c>
      <c r="D34" s="115"/>
      <c r="E34" s="105"/>
      <c r="F34" s="110">
        <v>1.44</v>
      </c>
      <c r="G34" s="121"/>
      <c r="H34" s="121"/>
      <c r="I34" s="112"/>
      <c r="J34" s="115"/>
      <c r="K34" s="112">
        <f>SUM(J$3:J34)</f>
        <v>3287.0399999999991</v>
      </c>
      <c r="L34" s="105"/>
      <c r="M34" s="105"/>
      <c r="N34" s="112"/>
    </row>
    <row r="35" spans="2:19" x14ac:dyDescent="0.25">
      <c r="B35" s="103">
        <v>572</v>
      </c>
      <c r="C35" s="105">
        <v>5.9</v>
      </c>
      <c r="D35" s="115"/>
      <c r="E35" s="105"/>
      <c r="F35" s="110">
        <v>1.44</v>
      </c>
      <c r="G35" s="121">
        <f>F35*F36</f>
        <v>2.0735999999999999</v>
      </c>
      <c r="H35" s="121"/>
      <c r="I35" s="115">
        <v>2.85</v>
      </c>
      <c r="J35" s="112">
        <f>300*G35-300</f>
        <v>322.07999999999993</v>
      </c>
      <c r="K35" s="112">
        <f>SUM(J$3:J35)</f>
        <v>3609.119999999999</v>
      </c>
      <c r="L35" s="112">
        <f>150*I35-150</f>
        <v>277.5</v>
      </c>
      <c r="M35" s="112">
        <f>SUBTOTAL(9,L$4:L35)</f>
        <v>4117.5</v>
      </c>
      <c r="N35" s="112"/>
    </row>
    <row r="36" spans="2:19" x14ac:dyDescent="0.25">
      <c r="B36" s="103">
        <v>573</v>
      </c>
      <c r="C36" s="105">
        <v>5.9</v>
      </c>
      <c r="D36" s="115"/>
      <c r="E36" s="105"/>
      <c r="F36" s="110">
        <v>1.44</v>
      </c>
      <c r="G36" s="121">
        <f>F36*F37</f>
        <v>2.0735999999999999</v>
      </c>
      <c r="H36" s="121"/>
      <c r="I36" s="115">
        <v>2.85</v>
      </c>
      <c r="J36" s="112">
        <f>300*G36-300</f>
        <v>322.07999999999993</v>
      </c>
      <c r="K36" s="112">
        <f>SUM(J$3:J36)</f>
        <v>3931.1999999999989</v>
      </c>
      <c r="L36" s="112">
        <f>150*I36-150</f>
        <v>277.5</v>
      </c>
      <c r="M36" s="112">
        <f>SUBTOTAL(9,L$4:L36)</f>
        <v>4395</v>
      </c>
      <c r="N36" s="112"/>
    </row>
    <row r="37" spans="2:19" x14ac:dyDescent="0.25">
      <c r="B37" s="105">
        <v>574</v>
      </c>
      <c r="C37" s="105">
        <v>6.1</v>
      </c>
      <c r="D37" s="115"/>
      <c r="E37" s="105"/>
      <c r="F37" s="110">
        <v>1.44</v>
      </c>
      <c r="G37" s="121">
        <f>F37*F38</f>
        <v>2.0735999999999999</v>
      </c>
      <c r="H37" s="121"/>
      <c r="I37" s="115">
        <v>2.85</v>
      </c>
      <c r="J37" s="112">
        <f>300*G37-300</f>
        <v>322.07999999999993</v>
      </c>
      <c r="K37" s="112">
        <f>SUM(J$3:J37)</f>
        <v>4253.2799999999988</v>
      </c>
      <c r="L37" s="112">
        <f>150*I37-150</f>
        <v>277.5</v>
      </c>
      <c r="M37" s="112">
        <f>SUBTOTAL(9,L$4:L37)</f>
        <v>4672.5</v>
      </c>
      <c r="N37" s="112"/>
      <c r="Q37">
        <v>18.88</v>
      </c>
      <c r="R37" s="82"/>
      <c r="S37">
        <v>1136</v>
      </c>
    </row>
    <row r="38" spans="2:19" x14ac:dyDescent="0.25">
      <c r="B38" s="105">
        <v>575</v>
      </c>
      <c r="C38" s="105">
        <v>9.0500000000000007</v>
      </c>
      <c r="D38" s="115"/>
      <c r="E38" s="105"/>
      <c r="F38" s="110">
        <v>1.44</v>
      </c>
      <c r="G38" s="121"/>
      <c r="H38" s="121">
        <f>F38*3.2</f>
        <v>4.6079999999999997</v>
      </c>
      <c r="I38" s="129">
        <v>2.85</v>
      </c>
      <c r="J38" s="112">
        <f>300*G38-300</f>
        <v>-300</v>
      </c>
      <c r="K38" s="112">
        <f>SUM(J$3:J38)</f>
        <v>3953.2799999999988</v>
      </c>
      <c r="L38" s="112">
        <f>150*I38-150</f>
        <v>277.5</v>
      </c>
      <c r="M38" s="112">
        <f>SUBTOTAL(9,L$4:L38)</f>
        <v>4950</v>
      </c>
      <c r="N38" s="112"/>
      <c r="Q38">
        <v>19.52</v>
      </c>
      <c r="R38" s="82">
        <f>S38/Q38</f>
        <v>58.196721311475414</v>
      </c>
      <c r="S38">
        <v>1136</v>
      </c>
    </row>
    <row r="39" spans="2:19" ht="15.75" x14ac:dyDescent="0.25">
      <c r="B39" s="103">
        <v>576</v>
      </c>
      <c r="C39" s="104">
        <v>3.2</v>
      </c>
      <c r="D39" s="105"/>
      <c r="E39" s="105"/>
      <c r="F39" s="110"/>
      <c r="G39" s="121"/>
      <c r="H39" s="121"/>
      <c r="I39" s="112"/>
      <c r="J39" s="119"/>
      <c r="K39" s="112">
        <f>SUM(J$3:J39)</f>
        <v>3953.2799999999988</v>
      </c>
      <c r="L39" s="113"/>
      <c r="M39" s="113"/>
      <c r="N39" s="112"/>
      <c r="Q39">
        <v>22.72</v>
      </c>
      <c r="R39" s="82">
        <f>S39/Q39</f>
        <v>50</v>
      </c>
      <c r="S39">
        <v>1136</v>
      </c>
    </row>
    <row r="40" spans="2:19" x14ac:dyDescent="0.25">
      <c r="B40" s="103">
        <v>577</v>
      </c>
      <c r="C40" s="104">
        <v>3.2</v>
      </c>
      <c r="D40" s="105"/>
      <c r="E40" s="105"/>
      <c r="F40" s="110"/>
      <c r="G40" s="121"/>
      <c r="H40" s="121"/>
      <c r="I40" s="112"/>
      <c r="J40" s="115"/>
      <c r="K40" s="112">
        <f>SUM(J$3:J40)</f>
        <v>3953.2799999999988</v>
      </c>
      <c r="L40" s="105"/>
      <c r="M40" s="105"/>
      <c r="N40" s="112"/>
    </row>
    <row r="41" spans="2:19" x14ac:dyDescent="0.25">
      <c r="B41" s="105">
        <v>578</v>
      </c>
      <c r="C41" s="105">
        <v>9.0500000000000007</v>
      </c>
      <c r="D41" s="115"/>
      <c r="E41" s="105"/>
      <c r="F41" s="110">
        <v>1.44</v>
      </c>
      <c r="G41" s="121"/>
      <c r="H41" s="121"/>
      <c r="I41" s="112"/>
      <c r="J41" s="115"/>
      <c r="K41" s="112">
        <f>SUM(J$3:J41)</f>
        <v>3953.2799999999988</v>
      </c>
      <c r="L41" s="105"/>
      <c r="M41" s="105"/>
      <c r="N41" s="112"/>
      <c r="R41" s="82">
        <f>SUM(R37:R40)/2</f>
        <v>54.098360655737707</v>
      </c>
    </row>
    <row r="42" spans="2:19" x14ac:dyDescent="0.25">
      <c r="B42" s="103">
        <v>579</v>
      </c>
      <c r="C42" s="104">
        <v>3.2</v>
      </c>
      <c r="D42" s="105"/>
      <c r="E42" s="105"/>
      <c r="F42" s="110"/>
      <c r="G42" s="121">
        <v>0</v>
      </c>
      <c r="H42" s="121"/>
      <c r="I42" s="112">
        <v>0</v>
      </c>
      <c r="J42" s="115"/>
      <c r="K42" s="112">
        <f>SUM(J$3:J42)</f>
        <v>3953.2799999999988</v>
      </c>
      <c r="L42" s="112">
        <f>150*I42-150</f>
        <v>-150</v>
      </c>
      <c r="M42" s="112">
        <f>SUBTOTAL(9,L$4:L42)</f>
        <v>4800</v>
      </c>
      <c r="N42" s="112"/>
      <c r="R42" s="81">
        <f>S39/R41</f>
        <v>20.998787878787876</v>
      </c>
    </row>
    <row r="43" spans="2:19" x14ac:dyDescent="0.25">
      <c r="B43" s="105">
        <v>580</v>
      </c>
      <c r="C43" s="105">
        <v>6.1</v>
      </c>
      <c r="D43" s="115"/>
      <c r="E43" s="105"/>
      <c r="F43" s="110">
        <v>1.44</v>
      </c>
      <c r="G43" s="121"/>
      <c r="H43" s="121"/>
      <c r="I43" s="112"/>
      <c r="J43" s="115"/>
      <c r="K43" s="112">
        <f>SUM(J$3:J43)</f>
        <v>3953.2799999999988</v>
      </c>
      <c r="L43" s="105"/>
      <c r="M43" s="105"/>
      <c r="N43" s="112"/>
    </row>
    <row r="44" spans="2:19" x14ac:dyDescent="0.25">
      <c r="B44" s="105">
        <v>581</v>
      </c>
      <c r="C44" s="105">
        <v>9.0500000000000007</v>
      </c>
      <c r="D44" s="115"/>
      <c r="E44" s="105"/>
      <c r="F44" s="110">
        <v>1.44</v>
      </c>
      <c r="G44" s="121">
        <f>F44*F45</f>
        <v>2.0735999999999999</v>
      </c>
      <c r="H44" s="121"/>
      <c r="I44" s="115">
        <v>2.85</v>
      </c>
      <c r="J44" s="112">
        <f>300*G44-300</f>
        <v>322.07999999999993</v>
      </c>
      <c r="K44" s="112">
        <f>SUM(J$3:J44)</f>
        <v>4275.3599999999988</v>
      </c>
      <c r="L44" s="112">
        <f>150*I44-150</f>
        <v>277.5</v>
      </c>
      <c r="M44" s="112">
        <f>SUBTOTAL(9,L$4:L44)</f>
        <v>5077.5</v>
      </c>
      <c r="N44" s="112"/>
    </row>
    <row r="45" spans="2:19" x14ac:dyDescent="0.25">
      <c r="B45" s="105">
        <v>582</v>
      </c>
      <c r="C45" s="105">
        <v>9.0500000000000007</v>
      </c>
      <c r="D45" s="115"/>
      <c r="E45" s="105"/>
      <c r="F45" s="110">
        <v>1.44</v>
      </c>
      <c r="G45" s="121">
        <f>F45*F46</f>
        <v>2.0735999999999999</v>
      </c>
      <c r="H45" s="121"/>
      <c r="I45" s="115">
        <v>2.85</v>
      </c>
      <c r="J45" s="112">
        <f>300*G45-300</f>
        <v>322.07999999999993</v>
      </c>
      <c r="K45" s="112">
        <f>SUM(J$3:J45)</f>
        <v>4597.4399999999987</v>
      </c>
      <c r="L45" s="112">
        <f>150*I45-150</f>
        <v>277.5</v>
      </c>
      <c r="M45" s="112">
        <f>SUBTOTAL(9,L$4:L45)</f>
        <v>5355</v>
      </c>
      <c r="N45" s="112"/>
    </row>
    <row r="46" spans="2:19" x14ac:dyDescent="0.25">
      <c r="B46" s="105">
        <v>583</v>
      </c>
      <c r="C46" s="105">
        <v>6.1</v>
      </c>
      <c r="D46" s="115"/>
      <c r="E46" s="105"/>
      <c r="F46" s="110">
        <v>1.44</v>
      </c>
      <c r="G46" s="121">
        <f>F46*F47</f>
        <v>2.0735999999999999</v>
      </c>
      <c r="H46" s="121"/>
      <c r="I46" s="115">
        <v>2.85</v>
      </c>
      <c r="J46" s="112">
        <f>300*G46-300</f>
        <v>322.07999999999993</v>
      </c>
      <c r="K46" s="112">
        <f>SUM(J$3:J46)</f>
        <v>4919.5199999999986</v>
      </c>
      <c r="L46" s="112">
        <f>150*I46-150</f>
        <v>277.5</v>
      </c>
      <c r="M46" s="112">
        <f>SUBTOTAL(9,L$4:L46)</f>
        <v>5632.5</v>
      </c>
      <c r="N46" s="112"/>
    </row>
    <row r="47" spans="2:19" x14ac:dyDescent="0.25">
      <c r="B47" s="103">
        <v>584</v>
      </c>
      <c r="C47" s="105">
        <v>5.9</v>
      </c>
      <c r="D47" s="115"/>
      <c r="E47" s="105"/>
      <c r="F47" s="110">
        <v>1.44</v>
      </c>
      <c r="G47" s="121">
        <f>F47*F48</f>
        <v>2.0735999999999999</v>
      </c>
      <c r="H47" s="121"/>
      <c r="I47" s="115">
        <v>2.85</v>
      </c>
      <c r="J47" s="112">
        <f>300*G47-300</f>
        <v>322.07999999999993</v>
      </c>
      <c r="K47" s="112">
        <f>SUM(J$3:J47)</f>
        <v>5241.5999999999985</v>
      </c>
      <c r="L47" s="112">
        <f>150*I47-150</f>
        <v>277.5</v>
      </c>
      <c r="M47" s="112">
        <f>SUBTOTAL(9,L$4:L47)</f>
        <v>5910</v>
      </c>
      <c r="N47" s="112"/>
    </row>
    <row r="48" spans="2:19" x14ac:dyDescent="0.25">
      <c r="B48" s="105">
        <v>585</v>
      </c>
      <c r="C48" s="105">
        <v>9.0500000000000007</v>
      </c>
      <c r="D48" s="115"/>
      <c r="E48" s="105"/>
      <c r="F48" s="110">
        <v>1.44</v>
      </c>
      <c r="G48" s="121"/>
      <c r="H48" s="121">
        <f>F48*3.2</f>
        <v>4.6079999999999997</v>
      </c>
      <c r="I48" s="129">
        <v>2.85</v>
      </c>
      <c r="J48" s="112">
        <f>300*G48-300</f>
        <v>-300</v>
      </c>
      <c r="K48" s="112">
        <f>SUM(J$3:J48)</f>
        <v>4941.5999999999985</v>
      </c>
      <c r="L48" s="112">
        <f>150*I48-150</f>
        <v>277.5</v>
      </c>
      <c r="M48" s="112">
        <f>SUBTOTAL(9,L$4:L48)</f>
        <v>6187.5</v>
      </c>
      <c r="N48" s="112"/>
    </row>
    <row r="49" spans="2:14" ht="15.75" x14ac:dyDescent="0.25">
      <c r="B49" s="103">
        <v>586</v>
      </c>
      <c r="C49" s="104">
        <v>3.2</v>
      </c>
      <c r="D49" s="105"/>
      <c r="E49" s="105"/>
      <c r="F49" s="110"/>
      <c r="G49" s="121"/>
      <c r="H49" s="121"/>
      <c r="I49" s="112"/>
      <c r="J49" s="119"/>
      <c r="K49" s="112">
        <f>SUM(J$3:J49)</f>
        <v>4941.5999999999985</v>
      </c>
      <c r="L49" s="113"/>
      <c r="M49" s="113"/>
      <c r="N49" s="112"/>
    </row>
    <row r="50" spans="2:14" x14ac:dyDescent="0.25">
      <c r="B50" s="103">
        <v>587</v>
      </c>
      <c r="C50" s="104">
        <v>3.2</v>
      </c>
      <c r="D50" s="105"/>
      <c r="E50" s="105"/>
      <c r="F50" s="110"/>
      <c r="G50" s="121"/>
      <c r="H50" s="121"/>
      <c r="I50" s="112"/>
      <c r="J50" s="115"/>
      <c r="K50" s="112">
        <f>SUM(J$3:J50)</f>
        <v>4941.5999999999985</v>
      </c>
      <c r="L50" s="105"/>
      <c r="M50" s="105"/>
      <c r="N50" s="112"/>
    </row>
    <row r="51" spans="2:14" x14ac:dyDescent="0.25">
      <c r="B51" s="103">
        <v>588</v>
      </c>
      <c r="C51" s="105">
        <v>5.9</v>
      </c>
      <c r="D51" s="115"/>
      <c r="E51" s="105"/>
      <c r="F51" s="110">
        <v>1.44</v>
      </c>
      <c r="G51" s="121"/>
      <c r="H51" s="121"/>
      <c r="I51" s="112"/>
      <c r="J51" s="115"/>
      <c r="K51" s="112">
        <f>SUM(J$3:J51)</f>
        <v>4941.5999999999985</v>
      </c>
      <c r="L51" s="105"/>
      <c r="M51" s="105"/>
      <c r="N51" s="112"/>
    </row>
    <row r="52" spans="2:14" x14ac:dyDescent="0.25">
      <c r="B52" s="103">
        <v>589</v>
      </c>
      <c r="C52" s="104">
        <v>3.2</v>
      </c>
      <c r="D52" s="105"/>
      <c r="E52" s="105"/>
      <c r="F52" s="110"/>
      <c r="G52" s="121">
        <v>0</v>
      </c>
      <c r="H52" s="121"/>
      <c r="I52" s="112">
        <v>0</v>
      </c>
      <c r="J52" s="115"/>
      <c r="K52" s="112">
        <f>SUM(J$3:J52)</f>
        <v>4941.5999999999985</v>
      </c>
      <c r="L52" s="112">
        <f>150*I52-150</f>
        <v>-150</v>
      </c>
      <c r="M52" s="112">
        <f>SUBTOTAL(9,L$4:L52)</f>
        <v>6037.5</v>
      </c>
      <c r="N52" s="112"/>
    </row>
    <row r="53" spans="2:14" x14ac:dyDescent="0.25">
      <c r="B53" s="105">
        <v>590</v>
      </c>
      <c r="C53" s="105">
        <v>9.0500000000000007</v>
      </c>
      <c r="D53" s="115"/>
      <c r="E53" s="105"/>
      <c r="F53" s="110">
        <v>1.44</v>
      </c>
      <c r="G53" s="121"/>
      <c r="H53" s="121"/>
      <c r="I53" s="112"/>
      <c r="J53" s="115"/>
      <c r="K53" s="112">
        <f>SUM(J$3:J53)</f>
        <v>4941.5999999999985</v>
      </c>
      <c r="L53" s="105"/>
      <c r="M53" s="105"/>
      <c r="N53" s="112"/>
    </row>
    <row r="54" spans="2:14" x14ac:dyDescent="0.25">
      <c r="B54" s="105">
        <v>591</v>
      </c>
      <c r="C54" s="105">
        <v>9.0500000000000007</v>
      </c>
      <c r="D54" s="115"/>
      <c r="E54" s="105"/>
      <c r="F54" s="110">
        <v>1.44</v>
      </c>
      <c r="G54" s="121">
        <f>F54*F55</f>
        <v>2.0735999999999999</v>
      </c>
      <c r="H54" s="121"/>
      <c r="I54" s="115">
        <v>2.85</v>
      </c>
      <c r="J54" s="112">
        <f>300*G54-300</f>
        <v>322.07999999999993</v>
      </c>
      <c r="K54" s="112">
        <f>SUM(J$3:J54)</f>
        <v>5263.6799999999985</v>
      </c>
      <c r="L54" s="112">
        <f>150*I54-150</f>
        <v>277.5</v>
      </c>
      <c r="M54" s="112">
        <f>SUBTOTAL(9,L$4:L54)</f>
        <v>6315</v>
      </c>
      <c r="N54" s="112"/>
    </row>
    <row r="55" spans="2:14" x14ac:dyDescent="0.25">
      <c r="B55" s="103">
        <v>592</v>
      </c>
      <c r="C55" s="105">
        <v>5.9</v>
      </c>
      <c r="D55" s="115"/>
      <c r="E55" s="105"/>
      <c r="F55" s="110">
        <v>1.44</v>
      </c>
      <c r="G55" s="121">
        <f>F55*F56</f>
        <v>2.0735999999999999</v>
      </c>
      <c r="H55" s="121"/>
      <c r="I55" s="115">
        <v>2.85</v>
      </c>
      <c r="J55" s="112">
        <f>300*G55-300</f>
        <v>322.07999999999993</v>
      </c>
      <c r="K55" s="112">
        <f>SUM(J$3:J55)</f>
        <v>5585.7599999999984</v>
      </c>
      <c r="L55" s="112">
        <f>150*I55-150</f>
        <v>277.5</v>
      </c>
      <c r="M55" s="112">
        <f>SUBTOTAL(9,L$4:L55)</f>
        <v>6592.5</v>
      </c>
      <c r="N55" s="112"/>
    </row>
    <row r="56" spans="2:14" x14ac:dyDescent="0.25">
      <c r="B56" s="105">
        <v>593</v>
      </c>
      <c r="C56" s="105">
        <v>7.1</v>
      </c>
      <c r="D56" s="115"/>
      <c r="E56" s="105"/>
      <c r="F56" s="110">
        <v>1.44</v>
      </c>
      <c r="G56" s="121"/>
      <c r="H56" s="121">
        <f>F56*3.2</f>
        <v>4.6079999999999997</v>
      </c>
      <c r="I56" s="129">
        <v>2.85</v>
      </c>
      <c r="J56" s="112">
        <f>300*G56-300</f>
        <v>-300</v>
      </c>
      <c r="K56" s="112">
        <f>SUM(J$3:J56)</f>
        <v>5285.7599999999984</v>
      </c>
      <c r="L56" s="112">
        <f>150*I56-150</f>
        <v>277.5</v>
      </c>
      <c r="M56" s="112">
        <f>SUBTOTAL(9,L$4:L56)</f>
        <v>6870</v>
      </c>
      <c r="N56" s="112"/>
    </row>
    <row r="57" spans="2:14" x14ac:dyDescent="0.25">
      <c r="B57" s="103">
        <v>594</v>
      </c>
      <c r="C57" s="104">
        <v>3.2</v>
      </c>
      <c r="D57" s="105"/>
      <c r="E57" s="105"/>
      <c r="F57" s="110"/>
      <c r="G57" s="121"/>
      <c r="H57" s="121"/>
      <c r="I57" s="112"/>
      <c r="J57" s="115"/>
      <c r="K57" s="112">
        <f>SUM(J$3:J57)</f>
        <v>5285.7599999999984</v>
      </c>
      <c r="L57" s="105"/>
      <c r="M57" s="105"/>
      <c r="N57" s="112"/>
    </row>
    <row r="58" spans="2:14" x14ac:dyDescent="0.25">
      <c r="B58" s="105">
        <v>595</v>
      </c>
      <c r="C58" s="105">
        <v>6.1</v>
      </c>
      <c r="D58" s="115"/>
      <c r="E58" s="105"/>
      <c r="F58" s="110">
        <v>1.44</v>
      </c>
      <c r="G58" s="121"/>
      <c r="H58" s="121"/>
      <c r="I58" s="112"/>
      <c r="J58" s="115"/>
      <c r="K58" s="112">
        <f>SUM(J$3:J58)</f>
        <v>5285.7599999999984</v>
      </c>
      <c r="L58" s="105"/>
      <c r="M58" s="105"/>
      <c r="N58" s="112"/>
    </row>
    <row r="59" spans="2:14" x14ac:dyDescent="0.25">
      <c r="B59" s="105">
        <v>596</v>
      </c>
      <c r="C59" s="105">
        <v>9.0500000000000007</v>
      </c>
      <c r="D59" s="115"/>
      <c r="E59" s="105"/>
      <c r="F59" s="110">
        <v>1.44</v>
      </c>
      <c r="G59" s="121"/>
      <c r="H59" s="121">
        <f>F59*3.2</f>
        <v>4.6079999999999997</v>
      </c>
      <c r="I59" s="129">
        <v>2.85</v>
      </c>
      <c r="J59" s="112">
        <f>300*G59-300</f>
        <v>-300</v>
      </c>
      <c r="K59" s="112">
        <f>SUM(J$3:J59)</f>
        <v>4985.7599999999984</v>
      </c>
      <c r="L59" s="112">
        <f>150*I59-150</f>
        <v>277.5</v>
      </c>
      <c r="M59" s="112">
        <f>SUBTOTAL(9,L$4:L59)</f>
        <v>7147.5</v>
      </c>
      <c r="N59" s="112"/>
    </row>
    <row r="60" spans="2:14" x14ac:dyDescent="0.25">
      <c r="B60" s="103">
        <v>597</v>
      </c>
      <c r="C60" s="104">
        <v>3.2</v>
      </c>
      <c r="D60" s="105"/>
      <c r="E60" s="105"/>
      <c r="F60" s="110"/>
      <c r="G60" s="121"/>
      <c r="H60" s="121"/>
      <c r="I60" s="112"/>
      <c r="J60" s="115"/>
      <c r="K60" s="112">
        <f>SUM(J$3:J60)</f>
        <v>4985.7599999999984</v>
      </c>
      <c r="L60" s="105"/>
      <c r="M60" s="105"/>
      <c r="N60" s="112"/>
    </row>
    <row r="61" spans="2:14" x14ac:dyDescent="0.25">
      <c r="B61" s="103">
        <v>598</v>
      </c>
      <c r="C61" s="105">
        <v>5.9</v>
      </c>
      <c r="D61" s="115"/>
      <c r="E61" s="105"/>
      <c r="F61" s="110">
        <v>1.44</v>
      </c>
      <c r="G61" s="121"/>
      <c r="H61" s="121"/>
      <c r="I61" s="112"/>
      <c r="J61" s="115"/>
      <c r="K61" s="112">
        <f>SUM(J$3:J61)</f>
        <v>4985.7599999999984</v>
      </c>
      <c r="L61" s="105"/>
      <c r="M61" s="105"/>
      <c r="N61" s="112"/>
    </row>
    <row r="62" spans="2:14" x14ac:dyDescent="0.25">
      <c r="B62" s="105">
        <v>599</v>
      </c>
      <c r="C62" s="105">
        <v>9.0500000000000007</v>
      </c>
      <c r="D62" s="115"/>
      <c r="E62" s="105"/>
      <c r="F62" s="110">
        <v>1.44</v>
      </c>
      <c r="G62" s="121">
        <f>F62*F63</f>
        <v>2.0735999999999999</v>
      </c>
      <c r="H62" s="121"/>
      <c r="I62" s="115">
        <v>2.85</v>
      </c>
      <c r="J62" s="112">
        <f>300*G62-300</f>
        <v>322.07999999999993</v>
      </c>
      <c r="K62" s="112">
        <f>SUM(J$3:J62)</f>
        <v>5307.8399999999983</v>
      </c>
      <c r="L62" s="112">
        <f>150*I62-150</f>
        <v>277.5</v>
      </c>
      <c r="M62" s="112">
        <f>SUBTOTAL(9,L$4:L62)</f>
        <v>7425</v>
      </c>
      <c r="N62" s="112"/>
    </row>
    <row r="63" spans="2:14" x14ac:dyDescent="0.25">
      <c r="B63" s="105">
        <v>600</v>
      </c>
      <c r="C63" s="105">
        <v>6.1</v>
      </c>
      <c r="D63" s="115"/>
      <c r="E63" s="105"/>
      <c r="F63" s="110">
        <v>1.44</v>
      </c>
      <c r="G63" s="121"/>
      <c r="H63" s="121">
        <f>F63*3.2</f>
        <v>4.6079999999999997</v>
      </c>
      <c r="I63" s="129">
        <v>2.85</v>
      </c>
      <c r="J63" s="112">
        <f>300*G63-300</f>
        <v>-300</v>
      </c>
      <c r="K63" s="112">
        <f>SUM(J$3:J63)</f>
        <v>5007.8399999999983</v>
      </c>
      <c r="L63" s="112">
        <f>150*I63-150</f>
        <v>277.5</v>
      </c>
      <c r="M63" s="112">
        <f>SUBTOTAL(9,L$4:L63)</f>
        <v>7702.5</v>
      </c>
      <c r="N63" s="112"/>
    </row>
    <row r="64" spans="2:14" x14ac:dyDescent="0.25">
      <c r="B64" s="103">
        <v>601</v>
      </c>
      <c r="C64" s="104">
        <v>3.2</v>
      </c>
      <c r="D64" s="105"/>
      <c r="E64" s="105"/>
      <c r="F64" s="110"/>
      <c r="G64" s="121"/>
      <c r="H64" s="121"/>
      <c r="I64" s="112"/>
      <c r="J64" s="115"/>
      <c r="K64" s="112">
        <f>SUM(J$3:J64)</f>
        <v>5007.8399999999983</v>
      </c>
      <c r="L64" s="105"/>
      <c r="M64" s="105"/>
      <c r="N64" s="112"/>
    </row>
    <row r="65" spans="2:14" x14ac:dyDescent="0.25">
      <c r="B65" s="105">
        <v>602</v>
      </c>
      <c r="C65" s="105">
        <v>7.1</v>
      </c>
      <c r="D65" s="115"/>
      <c r="E65" s="105"/>
      <c r="F65" s="110">
        <v>1.44</v>
      </c>
      <c r="G65" s="121"/>
      <c r="H65" s="121"/>
      <c r="I65" s="112"/>
      <c r="J65" s="115"/>
      <c r="K65" s="112">
        <f>SUM(J$3:J65)</f>
        <v>5007.8399999999983</v>
      </c>
      <c r="L65" s="105"/>
      <c r="M65" s="105"/>
      <c r="N65" s="112"/>
    </row>
    <row r="66" spans="2:14" x14ac:dyDescent="0.25">
      <c r="B66" s="103">
        <v>603</v>
      </c>
      <c r="C66" s="105">
        <v>5.9</v>
      </c>
      <c r="D66" s="115"/>
      <c r="E66" s="105"/>
      <c r="F66" s="110">
        <v>1.44</v>
      </c>
      <c r="G66" s="121">
        <f>F66*F67</f>
        <v>2.0735999999999999</v>
      </c>
      <c r="H66" s="121"/>
      <c r="I66" s="115">
        <v>2.85</v>
      </c>
      <c r="J66" s="112">
        <f>300*G66-300</f>
        <v>322.07999999999993</v>
      </c>
      <c r="K66" s="112">
        <f>SUM(J$3:J66)</f>
        <v>5329.9199999999983</v>
      </c>
      <c r="L66" s="112">
        <f>150*I66-150</f>
        <v>277.5</v>
      </c>
      <c r="M66" s="112">
        <f>SUBTOTAL(9,L$4:L66)</f>
        <v>7980</v>
      </c>
      <c r="N66" s="112"/>
    </row>
    <row r="67" spans="2:14" x14ac:dyDescent="0.25">
      <c r="B67" s="105">
        <v>604</v>
      </c>
      <c r="C67" s="105">
        <v>7.1</v>
      </c>
      <c r="D67" s="115"/>
      <c r="E67" s="105"/>
      <c r="F67" s="110">
        <v>1.44</v>
      </c>
      <c r="G67" s="121">
        <f>F67*F68</f>
        <v>2.0735999999999999</v>
      </c>
      <c r="H67" s="121"/>
      <c r="I67" s="115">
        <v>2.85</v>
      </c>
      <c r="J67" s="112">
        <f>300*G67-300</f>
        <v>322.07999999999993</v>
      </c>
      <c r="K67" s="112">
        <f>SUM(J$3:J67)</f>
        <v>5651.9999999999982</v>
      </c>
      <c r="L67" s="112">
        <f>150*I67-150</f>
        <v>277.5</v>
      </c>
      <c r="M67" s="112">
        <f>SUBTOTAL(9,L$4:L67)</f>
        <v>8257.5</v>
      </c>
      <c r="N67" s="112"/>
    </row>
    <row r="68" spans="2:14" x14ac:dyDescent="0.25">
      <c r="B68" s="103">
        <v>605</v>
      </c>
      <c r="C68" s="105">
        <v>5.9</v>
      </c>
      <c r="D68" s="115"/>
      <c r="E68" s="105"/>
      <c r="F68" s="110">
        <v>1.44</v>
      </c>
      <c r="G68" s="121"/>
      <c r="H68" s="121">
        <f>F68*3.2</f>
        <v>4.6079999999999997</v>
      </c>
      <c r="I68" s="129">
        <v>2.85</v>
      </c>
      <c r="J68" s="112">
        <f>300*G68-300</f>
        <v>-300</v>
      </c>
      <c r="K68" s="112">
        <f>SUM(J$3:J68)</f>
        <v>5351.9999999999982</v>
      </c>
      <c r="L68" s="112">
        <f>150*I68-150</f>
        <v>277.5</v>
      </c>
      <c r="M68" s="112">
        <f>SUBTOTAL(9,L$4:L68)</f>
        <v>8535</v>
      </c>
      <c r="N68" s="112"/>
    </row>
    <row r="69" spans="2:14" x14ac:dyDescent="0.25">
      <c r="B69" s="103">
        <v>606</v>
      </c>
      <c r="C69" s="104">
        <v>3.2</v>
      </c>
      <c r="D69" s="105"/>
      <c r="E69" s="105"/>
      <c r="F69" s="110"/>
      <c r="G69" s="121"/>
      <c r="H69" s="121"/>
      <c r="I69" s="112"/>
      <c r="J69" s="115"/>
      <c r="K69" s="112">
        <f>SUM(J$3:J69)</f>
        <v>5351.9999999999982</v>
      </c>
      <c r="L69" s="105"/>
      <c r="M69" s="105"/>
      <c r="N69" s="112"/>
    </row>
    <row r="70" spans="2:14" x14ac:dyDescent="0.25">
      <c r="B70" s="105">
        <v>607</v>
      </c>
      <c r="C70" s="105">
        <v>9.0500000000000007</v>
      </c>
      <c r="D70" s="115"/>
      <c r="E70" s="105"/>
      <c r="F70" s="110">
        <v>1.44</v>
      </c>
      <c r="G70" s="121"/>
      <c r="H70" s="121"/>
      <c r="I70" s="112"/>
      <c r="J70" s="115"/>
      <c r="K70" s="112">
        <f>SUM(J$3:J70)</f>
        <v>5351.9999999999982</v>
      </c>
      <c r="L70" s="105"/>
      <c r="M70" s="105"/>
      <c r="N70" s="112"/>
    </row>
    <row r="71" spans="2:14" x14ac:dyDescent="0.25">
      <c r="B71" s="105">
        <v>608</v>
      </c>
      <c r="C71" s="105">
        <v>9.0500000000000007</v>
      </c>
      <c r="D71" s="115"/>
      <c r="E71" s="105"/>
      <c r="F71" s="110">
        <v>1.44</v>
      </c>
      <c r="G71" s="121">
        <f>F71*F72</f>
        <v>2.0735999999999999</v>
      </c>
      <c r="H71" s="121"/>
      <c r="I71" s="115">
        <v>2.85</v>
      </c>
      <c r="J71" s="112">
        <f>300*G71-300</f>
        <v>322.07999999999993</v>
      </c>
      <c r="K71" s="112">
        <f>SUM(J$3:J71)</f>
        <v>5674.0799999999981</v>
      </c>
      <c r="L71" s="112">
        <f>150*I71-150</f>
        <v>277.5</v>
      </c>
      <c r="M71" s="112">
        <f>SUBTOTAL(9,L$4:L71)</f>
        <v>8812.5</v>
      </c>
      <c r="N71" s="112"/>
    </row>
    <row r="72" spans="2:14" x14ac:dyDescent="0.25">
      <c r="B72" s="103">
        <v>609</v>
      </c>
      <c r="C72" s="105">
        <v>5.9</v>
      </c>
      <c r="D72" s="115"/>
      <c r="E72" s="105"/>
      <c r="F72" s="110">
        <v>1.44</v>
      </c>
      <c r="G72" s="121"/>
      <c r="H72" s="121">
        <f>F72*3.2</f>
        <v>4.6079999999999997</v>
      </c>
      <c r="I72" s="129">
        <v>2.85</v>
      </c>
      <c r="J72" s="112">
        <f>300*G72-300</f>
        <v>-300</v>
      </c>
      <c r="K72" s="112">
        <f>SUM(J$3:J72)</f>
        <v>5374.0799999999981</v>
      </c>
      <c r="L72" s="112">
        <f>150*I72-150</f>
        <v>277.5</v>
      </c>
      <c r="M72" s="112">
        <f>SUBTOTAL(9,L$4:L72)</f>
        <v>9090</v>
      </c>
      <c r="N72" s="112"/>
    </row>
    <row r="73" spans="2:14" x14ac:dyDescent="0.25">
      <c r="B73" s="103">
        <v>610</v>
      </c>
      <c r="C73" s="104">
        <v>3.2</v>
      </c>
      <c r="D73" s="105"/>
      <c r="E73" s="105"/>
      <c r="F73" s="110"/>
      <c r="G73" s="121"/>
      <c r="H73" s="121"/>
      <c r="I73" s="112"/>
      <c r="J73" s="115"/>
      <c r="K73" s="112">
        <f>SUM(J$3:J73)</f>
        <v>5374.0799999999981</v>
      </c>
      <c r="L73" s="105"/>
      <c r="M73" s="105"/>
      <c r="N73" s="112"/>
    </row>
    <row r="74" spans="2:14" x14ac:dyDescent="0.25">
      <c r="B74" s="103">
        <v>611</v>
      </c>
      <c r="C74" s="105">
        <v>5.9</v>
      </c>
      <c r="D74" s="115"/>
      <c r="E74" s="105"/>
      <c r="F74" s="110">
        <v>1.44</v>
      </c>
      <c r="G74" s="121"/>
      <c r="H74" s="121"/>
      <c r="I74" s="112"/>
      <c r="J74" s="115"/>
      <c r="K74" s="112">
        <f>SUM(J$3:J74)</f>
        <v>5374.0799999999981</v>
      </c>
      <c r="L74" s="105"/>
      <c r="M74" s="105"/>
      <c r="N74" s="112"/>
    </row>
    <row r="75" spans="2:14" x14ac:dyDescent="0.25">
      <c r="B75" s="103">
        <v>612</v>
      </c>
      <c r="C75" s="104">
        <v>3.2</v>
      </c>
      <c r="D75" s="105"/>
      <c r="E75" s="105"/>
      <c r="F75" s="110"/>
      <c r="G75" s="121"/>
      <c r="H75" s="121"/>
      <c r="I75" s="112"/>
      <c r="J75" s="119"/>
      <c r="K75" s="112">
        <f>SUM(J$3:J75)</f>
        <v>5374.0799999999981</v>
      </c>
      <c r="L75" s="105"/>
      <c r="M75" s="105"/>
      <c r="N75" s="112"/>
    </row>
    <row r="76" spans="2:14" ht="15.75" x14ac:dyDescent="0.25">
      <c r="B76" s="103">
        <v>613</v>
      </c>
      <c r="C76" s="104">
        <v>3.2</v>
      </c>
      <c r="D76" s="105"/>
      <c r="E76" s="105"/>
      <c r="F76" s="110"/>
      <c r="G76" s="121"/>
      <c r="H76" s="121"/>
      <c r="I76" s="112"/>
      <c r="J76" s="119"/>
      <c r="K76" s="112">
        <f>SUM(J$3:J76)</f>
        <v>5374.0799999999981</v>
      </c>
      <c r="L76" s="113"/>
      <c r="M76" s="113"/>
      <c r="N76" s="112"/>
    </row>
    <row r="77" spans="2:14" ht="15.75" x14ac:dyDescent="0.25">
      <c r="B77" s="103">
        <v>614</v>
      </c>
      <c r="C77" s="104">
        <v>3.2</v>
      </c>
      <c r="D77" s="105"/>
      <c r="E77" s="105"/>
      <c r="F77" s="110"/>
      <c r="G77" s="121"/>
      <c r="H77" s="121"/>
      <c r="I77" s="112"/>
      <c r="J77" s="115"/>
      <c r="K77" s="112">
        <f>SUM(J$3:J77)</f>
        <v>5374.0799999999981</v>
      </c>
      <c r="L77" s="113"/>
      <c r="M77" s="105"/>
      <c r="N77" s="112"/>
    </row>
    <row r="78" spans="2:14" x14ac:dyDescent="0.25">
      <c r="B78" s="105">
        <v>615</v>
      </c>
      <c r="C78" s="105">
        <v>9.0500000000000007</v>
      </c>
      <c r="D78" s="115"/>
      <c r="E78" s="105"/>
      <c r="F78" s="110">
        <v>1.44</v>
      </c>
      <c r="G78" s="121"/>
      <c r="H78" s="121"/>
      <c r="I78" s="112"/>
      <c r="J78" s="115"/>
      <c r="K78" s="112">
        <f>SUM(J$3:J78)</f>
        <v>5374.0799999999981</v>
      </c>
      <c r="L78" s="105"/>
      <c r="M78" s="105"/>
      <c r="N78" s="112"/>
    </row>
    <row r="79" spans="2:14" x14ac:dyDescent="0.25">
      <c r="B79" s="103">
        <v>616</v>
      </c>
      <c r="C79" s="105">
        <v>5.9</v>
      </c>
      <c r="D79" s="115"/>
      <c r="E79" s="105"/>
      <c r="F79" s="110">
        <v>1.44</v>
      </c>
      <c r="G79" s="121">
        <f>F79*F80</f>
        <v>2.0735999999999999</v>
      </c>
      <c r="H79" s="121"/>
      <c r="I79" s="115">
        <v>2.85</v>
      </c>
      <c r="J79" s="112">
        <f>300*G79-300</f>
        <v>322.07999999999993</v>
      </c>
      <c r="K79" s="112">
        <f>SUM(J$3:J79)</f>
        <v>5696.159999999998</v>
      </c>
      <c r="L79" s="112">
        <f>150*I79-150</f>
        <v>277.5</v>
      </c>
      <c r="M79" s="112">
        <f>SUBTOTAL(9,L$4:L79)</f>
        <v>9367.5</v>
      </c>
      <c r="N79" s="112"/>
    </row>
    <row r="80" spans="2:14" x14ac:dyDescent="0.25">
      <c r="B80" s="103">
        <v>617</v>
      </c>
      <c r="C80" s="105">
        <v>5.9</v>
      </c>
      <c r="D80" s="115"/>
      <c r="E80" s="105"/>
      <c r="F80" s="110">
        <v>1.44</v>
      </c>
      <c r="G80" s="121"/>
      <c r="H80" s="121">
        <f>F80*3.2</f>
        <v>4.6079999999999997</v>
      </c>
      <c r="I80" s="129">
        <v>2.85</v>
      </c>
      <c r="J80" s="112">
        <f>300*G80-300</f>
        <v>-300</v>
      </c>
      <c r="K80" s="112">
        <f>SUM(J$3:J80)</f>
        <v>5396.159999999998</v>
      </c>
      <c r="L80" s="112">
        <f>150*I80-150</f>
        <v>277.5</v>
      </c>
      <c r="M80" s="112">
        <f>SUBTOTAL(9,L$4:L80)</f>
        <v>9645</v>
      </c>
      <c r="N80" s="112"/>
    </row>
    <row r="81" spans="2:14" ht="15.75" x14ac:dyDescent="0.25">
      <c r="B81" s="103">
        <v>618</v>
      </c>
      <c r="C81" s="104">
        <v>3.2</v>
      </c>
      <c r="D81" s="105"/>
      <c r="E81" s="105"/>
      <c r="F81" s="110"/>
      <c r="G81" s="121"/>
      <c r="H81" s="121"/>
      <c r="I81" s="112"/>
      <c r="J81" s="119"/>
      <c r="K81" s="112">
        <f>SUM(J$3:J81)</f>
        <v>5396.159999999998</v>
      </c>
      <c r="L81" s="113"/>
      <c r="M81" s="113"/>
      <c r="N81" s="112"/>
    </row>
    <row r="82" spans="2:14" x14ac:dyDescent="0.25">
      <c r="B82" s="103">
        <v>619</v>
      </c>
      <c r="C82" s="104">
        <v>3.2</v>
      </c>
      <c r="D82" s="105"/>
      <c r="E82" s="105"/>
      <c r="F82" s="110"/>
      <c r="G82" s="121"/>
      <c r="H82" s="121"/>
      <c r="I82" s="112"/>
      <c r="J82" s="115"/>
      <c r="K82" s="112">
        <f>SUM(J$3:J82)</f>
        <v>5396.159999999998</v>
      </c>
      <c r="L82" s="105"/>
      <c r="M82" s="105"/>
      <c r="N82" s="112"/>
    </row>
    <row r="83" spans="2:14" x14ac:dyDescent="0.25">
      <c r="B83" s="105">
        <v>620</v>
      </c>
      <c r="C83" s="105">
        <v>7.1</v>
      </c>
      <c r="D83" s="115"/>
      <c r="E83" s="105"/>
      <c r="F83" s="110">
        <v>1.44</v>
      </c>
      <c r="G83" s="121"/>
      <c r="H83" s="121"/>
      <c r="I83" s="112"/>
      <c r="J83" s="115"/>
      <c r="K83" s="112">
        <f>SUM(J$3:J83)</f>
        <v>5396.159999999998</v>
      </c>
      <c r="L83" s="105"/>
      <c r="M83" s="105"/>
      <c r="N83" s="112"/>
    </row>
    <row r="84" spans="2:14" x14ac:dyDescent="0.25">
      <c r="B84" s="103">
        <v>621</v>
      </c>
      <c r="C84" s="104">
        <v>3.2</v>
      </c>
      <c r="D84" s="105"/>
      <c r="E84" s="105"/>
      <c r="F84" s="110"/>
      <c r="G84" s="121">
        <v>0</v>
      </c>
      <c r="H84" s="121"/>
      <c r="I84" s="112">
        <v>0</v>
      </c>
      <c r="J84" s="115"/>
      <c r="K84" s="112">
        <f>SUM(J$3:J84)</f>
        <v>5396.159999999998</v>
      </c>
      <c r="L84" s="112">
        <f>150*I84-150</f>
        <v>-150</v>
      </c>
      <c r="M84" s="112">
        <f>SUBTOTAL(9,L$4:L84)</f>
        <v>9495</v>
      </c>
      <c r="N84" s="112"/>
    </row>
    <row r="85" spans="2:14" x14ac:dyDescent="0.25">
      <c r="B85" s="105">
        <v>622</v>
      </c>
      <c r="C85" s="105">
        <v>6.1</v>
      </c>
      <c r="D85" s="115"/>
      <c r="E85" s="105"/>
      <c r="F85" s="110">
        <v>1.44</v>
      </c>
      <c r="G85" s="121"/>
      <c r="H85" s="121"/>
      <c r="I85" s="112"/>
      <c r="J85" s="115"/>
      <c r="K85" s="112">
        <f>SUM(J$3:J85)</f>
        <v>5396.159999999998</v>
      </c>
      <c r="L85" s="105"/>
      <c r="M85" s="105"/>
      <c r="N85" s="112"/>
    </row>
    <row r="86" spans="2:14" x14ac:dyDescent="0.25">
      <c r="B86" s="103">
        <v>623</v>
      </c>
      <c r="C86" s="104">
        <v>3.2</v>
      </c>
      <c r="D86" s="105"/>
      <c r="E86" s="105"/>
      <c r="F86" s="110"/>
      <c r="G86" s="121">
        <v>0</v>
      </c>
      <c r="H86" s="121"/>
      <c r="I86" s="112">
        <v>0</v>
      </c>
      <c r="J86" s="119"/>
      <c r="K86" s="112">
        <f>SUM(J$3:J86)</f>
        <v>5396.159999999998</v>
      </c>
      <c r="L86" s="112">
        <f>150*I86-150</f>
        <v>-150</v>
      </c>
      <c r="M86" s="112">
        <f>SUBTOTAL(9,L$4:L86)</f>
        <v>9345</v>
      </c>
      <c r="N86" s="112"/>
    </row>
    <row r="87" spans="2:14" ht="15.75" x14ac:dyDescent="0.25">
      <c r="B87" s="103">
        <v>624</v>
      </c>
      <c r="C87" s="104">
        <v>3.2</v>
      </c>
      <c r="D87" s="105"/>
      <c r="E87" s="105"/>
      <c r="F87" s="110"/>
      <c r="G87" s="121"/>
      <c r="H87" s="121"/>
      <c r="I87" s="112"/>
      <c r="J87" s="119"/>
      <c r="K87" s="112">
        <f>SUM(J$3:J87)</f>
        <v>5396.159999999998</v>
      </c>
      <c r="L87" s="113"/>
      <c r="M87" s="113"/>
      <c r="N87" s="112"/>
    </row>
    <row r="88" spans="2:14" x14ac:dyDescent="0.25">
      <c r="B88" s="103">
        <v>625</v>
      </c>
      <c r="C88" s="104">
        <v>3.2</v>
      </c>
      <c r="D88" s="105"/>
      <c r="E88" s="105"/>
      <c r="F88" s="110"/>
      <c r="G88" s="121"/>
      <c r="H88" s="121"/>
      <c r="I88" s="112"/>
      <c r="J88" s="115"/>
      <c r="K88" s="112">
        <f>SUM(J$3:J88)</f>
        <v>5396.159999999998</v>
      </c>
      <c r="L88" s="105"/>
      <c r="M88" s="105"/>
      <c r="N88" s="112"/>
    </row>
    <row r="89" spans="2:14" x14ac:dyDescent="0.25">
      <c r="B89" s="105">
        <v>626</v>
      </c>
      <c r="C89" s="105">
        <v>6.1</v>
      </c>
      <c r="D89" s="115"/>
      <c r="E89" s="105"/>
      <c r="F89" s="110">
        <v>1.44</v>
      </c>
      <c r="G89" s="121"/>
      <c r="H89" s="121"/>
      <c r="I89" s="112"/>
      <c r="J89" s="115"/>
      <c r="K89" s="112">
        <f>SUM(J$3:J89)</f>
        <v>5396.159999999998</v>
      </c>
      <c r="L89" s="105"/>
      <c r="M89" s="105"/>
      <c r="N89" s="112"/>
    </row>
    <row r="90" spans="2:14" x14ac:dyDescent="0.25">
      <c r="B90" s="103">
        <v>627</v>
      </c>
      <c r="C90" s="104">
        <v>3.2</v>
      </c>
      <c r="D90" s="105"/>
      <c r="E90" s="105"/>
      <c r="F90" s="110"/>
      <c r="G90" s="121">
        <v>0</v>
      </c>
      <c r="H90" s="121"/>
      <c r="I90" s="112">
        <v>0</v>
      </c>
      <c r="J90" s="115"/>
      <c r="K90" s="112">
        <f>SUM(J$3:J90)</f>
        <v>5396.159999999998</v>
      </c>
      <c r="L90" s="112">
        <f>150*I90-150</f>
        <v>-150</v>
      </c>
      <c r="M90" s="112">
        <f>SUBTOTAL(9,L$4:L90)</f>
        <v>9195</v>
      </c>
      <c r="N90" s="112"/>
    </row>
    <row r="91" spans="2:14" x14ac:dyDescent="0.25">
      <c r="B91" s="105">
        <v>628</v>
      </c>
      <c r="C91" s="105">
        <v>9.0500000000000007</v>
      </c>
      <c r="D91" s="115"/>
      <c r="E91" s="105"/>
      <c r="F91" s="110">
        <v>1.44</v>
      </c>
      <c r="G91" s="121"/>
      <c r="H91" s="121"/>
      <c r="I91" s="112"/>
      <c r="J91" s="115"/>
      <c r="K91" s="112">
        <f>SUM(J$3:J91)</f>
        <v>5396.159999999998</v>
      </c>
      <c r="L91" s="105"/>
      <c r="M91" s="105"/>
      <c r="N91" s="112"/>
    </row>
    <row r="92" spans="2:14" x14ac:dyDescent="0.25">
      <c r="B92" s="105">
        <v>629</v>
      </c>
      <c r="C92" s="105">
        <v>9.0500000000000007</v>
      </c>
      <c r="D92" s="115"/>
      <c r="E92" s="105"/>
      <c r="F92" s="110">
        <v>1.44</v>
      </c>
      <c r="G92" s="121">
        <f>F92*F93</f>
        <v>2.0735999999999999</v>
      </c>
      <c r="H92" s="121"/>
      <c r="I92" s="115">
        <v>2.85</v>
      </c>
      <c r="J92" s="112">
        <f>300*G92-300</f>
        <v>322.07999999999993</v>
      </c>
      <c r="K92" s="112">
        <f>SUM(J$3:J92)</f>
        <v>5718.239999999998</v>
      </c>
      <c r="L92" s="112">
        <f>150*I92-150</f>
        <v>277.5</v>
      </c>
      <c r="M92" s="112">
        <f>SUBTOTAL(9,L$4:L92)</f>
        <v>9472.5</v>
      </c>
      <c r="N92" s="112"/>
    </row>
    <row r="93" spans="2:14" x14ac:dyDescent="0.25">
      <c r="B93" s="103">
        <v>630</v>
      </c>
      <c r="C93" s="105">
        <v>5.9</v>
      </c>
      <c r="D93" s="115"/>
      <c r="E93" s="105"/>
      <c r="F93" s="110">
        <v>1.44</v>
      </c>
      <c r="G93" s="121">
        <f>F93*F94</f>
        <v>2.0735999999999999</v>
      </c>
      <c r="H93" s="121"/>
      <c r="I93" s="115">
        <v>2.85</v>
      </c>
      <c r="J93" s="112">
        <f>300*G93-300</f>
        <v>322.07999999999993</v>
      </c>
      <c r="K93" s="112">
        <f>SUM(J$3:J93)</f>
        <v>6040.3199999999979</v>
      </c>
      <c r="L93" s="112">
        <f>150*I93-150</f>
        <v>277.5</v>
      </c>
      <c r="M93" s="112">
        <f>SUBTOTAL(9,L$4:L93)</f>
        <v>9750</v>
      </c>
      <c r="N93" s="112"/>
    </row>
    <row r="94" spans="2:14" x14ac:dyDescent="0.25">
      <c r="B94" s="103">
        <v>631</v>
      </c>
      <c r="C94" s="105">
        <v>5.9</v>
      </c>
      <c r="D94" s="115"/>
      <c r="E94" s="105"/>
      <c r="F94" s="110">
        <v>1.44</v>
      </c>
      <c r="G94" s="121">
        <f>F94*F95</f>
        <v>2.0735999999999999</v>
      </c>
      <c r="H94" s="121"/>
      <c r="I94" s="115">
        <v>2.85</v>
      </c>
      <c r="J94" s="112">
        <f>300*G94-300</f>
        <v>322.07999999999993</v>
      </c>
      <c r="K94" s="112">
        <f>SUM(J$3:J94)</f>
        <v>6362.3999999999978</v>
      </c>
      <c r="L94" s="112">
        <f>150*I94-150</f>
        <v>277.5</v>
      </c>
      <c r="M94" s="112">
        <f>SUBTOTAL(9,L$4:L94)</f>
        <v>10027.5</v>
      </c>
      <c r="N94" s="112"/>
    </row>
    <row r="95" spans="2:14" x14ac:dyDescent="0.25">
      <c r="B95" s="105">
        <v>632</v>
      </c>
      <c r="C95" s="105">
        <v>9.0500000000000007</v>
      </c>
      <c r="D95" s="115"/>
      <c r="E95" s="105"/>
      <c r="F95" s="110">
        <v>1.44</v>
      </c>
      <c r="G95" s="121"/>
      <c r="H95" s="121">
        <f>F95*3.2</f>
        <v>4.6079999999999997</v>
      </c>
      <c r="I95" s="129">
        <v>2.85</v>
      </c>
      <c r="J95" s="112">
        <f>300*G95-300</f>
        <v>-300</v>
      </c>
      <c r="K95" s="112">
        <f>SUM(J$3:J95)</f>
        <v>6062.3999999999978</v>
      </c>
      <c r="L95" s="112">
        <f>150*I95-150</f>
        <v>277.5</v>
      </c>
      <c r="M95" s="112">
        <f>SUBTOTAL(9,L$4:L95)</f>
        <v>10305</v>
      </c>
      <c r="N95" s="112"/>
    </row>
    <row r="96" spans="2:14" ht="15.75" x14ac:dyDescent="0.25">
      <c r="B96" s="103">
        <v>633</v>
      </c>
      <c r="C96" s="104">
        <v>3.2</v>
      </c>
      <c r="D96" s="105"/>
      <c r="E96" s="105"/>
      <c r="F96" s="110"/>
      <c r="G96" s="121"/>
      <c r="H96" s="121"/>
      <c r="I96" s="112"/>
      <c r="J96" s="119"/>
      <c r="K96" s="112">
        <f>SUM(J$3:J96)</f>
        <v>6062.3999999999978</v>
      </c>
      <c r="L96" s="113"/>
      <c r="M96" s="113"/>
      <c r="N96" s="112"/>
    </row>
    <row r="97" spans="2:14" x14ac:dyDescent="0.25">
      <c r="B97" s="103">
        <v>634</v>
      </c>
      <c r="C97" s="104">
        <v>3.2</v>
      </c>
      <c r="D97" s="105"/>
      <c r="E97" s="105"/>
      <c r="F97" s="110"/>
      <c r="G97" s="121"/>
      <c r="H97" s="121"/>
      <c r="I97" s="112"/>
      <c r="J97" s="115"/>
      <c r="K97" s="112">
        <f>SUM(J$3:J97)</f>
        <v>6062.3999999999978</v>
      </c>
      <c r="L97" s="105"/>
      <c r="M97" s="105"/>
      <c r="N97" s="112"/>
    </row>
    <row r="98" spans="2:14" x14ac:dyDescent="0.25">
      <c r="B98" s="105">
        <v>635</v>
      </c>
      <c r="C98" s="105">
        <v>9.0500000000000007</v>
      </c>
      <c r="D98" s="115"/>
      <c r="E98" s="105"/>
      <c r="F98" s="110">
        <v>1.44</v>
      </c>
      <c r="G98" s="121"/>
      <c r="H98" s="121"/>
      <c r="I98" s="112"/>
      <c r="J98" s="115"/>
      <c r="K98" s="112">
        <f>SUM(J$3:J98)</f>
        <v>6062.3999999999978</v>
      </c>
      <c r="L98" s="105"/>
      <c r="M98" s="105"/>
      <c r="N98" s="112"/>
    </row>
    <row r="99" spans="2:14" x14ac:dyDescent="0.25">
      <c r="B99" s="103">
        <v>636</v>
      </c>
      <c r="C99" s="105">
        <v>5.9</v>
      </c>
      <c r="D99" s="115"/>
      <c r="E99" s="105"/>
      <c r="F99" s="110">
        <v>1.44</v>
      </c>
      <c r="G99" s="121">
        <f>F99*F100</f>
        <v>2.0735999999999999</v>
      </c>
      <c r="H99" s="121"/>
      <c r="I99" s="115">
        <v>2.85</v>
      </c>
      <c r="J99" s="112">
        <f>300*G99-300</f>
        <v>322.07999999999993</v>
      </c>
      <c r="K99" s="112">
        <f>SUM(J$3:J99)</f>
        <v>6384.4799999999977</v>
      </c>
      <c r="L99" s="112">
        <f>150*I99-150</f>
        <v>277.5</v>
      </c>
      <c r="M99" s="112">
        <f>SUBTOTAL(9,L$4:L99)</f>
        <v>10582.5</v>
      </c>
      <c r="N99" s="112"/>
    </row>
    <row r="100" spans="2:14" x14ac:dyDescent="0.25">
      <c r="B100" s="103">
        <v>637</v>
      </c>
      <c r="C100" s="105">
        <v>5.9</v>
      </c>
      <c r="D100" s="115"/>
      <c r="E100" s="105"/>
      <c r="F100" s="110">
        <v>1.44</v>
      </c>
      <c r="G100" s="121">
        <f>F100*F101</f>
        <v>2.0735999999999999</v>
      </c>
      <c r="H100" s="121"/>
      <c r="I100" s="115">
        <v>2.85</v>
      </c>
      <c r="J100" s="112">
        <f>300*G100-300</f>
        <v>322.07999999999993</v>
      </c>
      <c r="K100" s="112">
        <f>SUM(J$3:J100)</f>
        <v>6706.5599999999977</v>
      </c>
      <c r="L100" s="112">
        <f>150*I100-150</f>
        <v>277.5</v>
      </c>
      <c r="M100" s="112">
        <f>SUBTOTAL(9,L$4:L100)</f>
        <v>10860</v>
      </c>
      <c r="N100" s="112"/>
    </row>
    <row r="101" spans="2:14" x14ac:dyDescent="0.25">
      <c r="B101" s="105">
        <v>638</v>
      </c>
      <c r="C101" s="105">
        <v>7.1</v>
      </c>
      <c r="D101" s="115"/>
      <c r="E101" s="105"/>
      <c r="F101" s="110">
        <v>1.44</v>
      </c>
      <c r="G101" s="121"/>
      <c r="H101" s="121">
        <f>F101*3.2</f>
        <v>4.6079999999999997</v>
      </c>
      <c r="I101" s="129">
        <v>2.85</v>
      </c>
      <c r="J101" s="112">
        <f>300*G101-300</f>
        <v>-300</v>
      </c>
      <c r="K101" s="112">
        <f>SUM(J$3:J101)</f>
        <v>6406.5599999999977</v>
      </c>
      <c r="L101" s="112">
        <f>150*I101-150</f>
        <v>277.5</v>
      </c>
      <c r="M101" s="112">
        <f>SUBTOTAL(9,L$4:L101)</f>
        <v>11137.5</v>
      </c>
      <c r="N101" s="112"/>
    </row>
    <row r="102" spans="2:14" ht="15.75" x14ac:dyDescent="0.25">
      <c r="B102" s="103">
        <v>639</v>
      </c>
      <c r="C102" s="104">
        <v>3.2</v>
      </c>
      <c r="D102" s="105"/>
      <c r="E102" s="105"/>
      <c r="F102" s="110"/>
      <c r="G102" s="121"/>
      <c r="H102" s="121"/>
      <c r="I102" s="112"/>
      <c r="J102" s="119"/>
      <c r="K102" s="112">
        <f>SUM(J$3:J102)</f>
        <v>6406.5599999999977</v>
      </c>
      <c r="L102" s="113"/>
      <c r="M102" s="113"/>
      <c r="N102" s="112"/>
    </row>
    <row r="103" spans="2:14" ht="15.75" x14ac:dyDescent="0.25">
      <c r="B103" s="103">
        <v>640</v>
      </c>
      <c r="C103" s="104">
        <v>3.2</v>
      </c>
      <c r="D103" s="105"/>
      <c r="E103" s="105"/>
      <c r="F103" s="110"/>
      <c r="G103" s="121"/>
      <c r="H103" s="121"/>
      <c r="I103" s="112"/>
      <c r="J103" s="119"/>
      <c r="K103" s="112">
        <f>SUM(J$3:J103)</f>
        <v>6406.5599999999977</v>
      </c>
      <c r="L103" s="113"/>
      <c r="M103" s="113"/>
      <c r="N103" s="112"/>
    </row>
    <row r="104" spans="2:14" x14ac:dyDescent="0.25">
      <c r="B104" s="103">
        <v>641</v>
      </c>
      <c r="C104" s="104">
        <v>3.2</v>
      </c>
      <c r="D104" s="105"/>
      <c r="E104" s="105"/>
      <c r="F104" s="118"/>
      <c r="G104" s="121"/>
      <c r="H104" s="121"/>
      <c r="I104" s="112"/>
      <c r="J104" s="115"/>
      <c r="K104" s="112">
        <f>SUM(J$3:J104)</f>
        <v>6406.5599999999977</v>
      </c>
      <c r="L104" s="105"/>
      <c r="M104" s="105"/>
      <c r="N104" s="112"/>
    </row>
    <row r="105" spans="2:14" x14ac:dyDescent="0.25">
      <c r="B105" s="103">
        <v>642</v>
      </c>
      <c r="C105" s="105">
        <v>5.9</v>
      </c>
      <c r="D105" s="115"/>
      <c r="E105" s="105"/>
      <c r="F105" s="110">
        <v>1.44</v>
      </c>
      <c r="G105" s="121"/>
      <c r="H105" s="121"/>
      <c r="I105" s="112"/>
      <c r="J105" s="115"/>
      <c r="K105" s="112">
        <f>SUM(J$3:J105)</f>
        <v>6406.5599999999977</v>
      </c>
      <c r="L105" s="105"/>
      <c r="M105" s="105"/>
      <c r="N105" s="112"/>
    </row>
    <row r="106" spans="2:14" x14ac:dyDescent="0.25">
      <c r="B106" s="105">
        <v>643</v>
      </c>
      <c r="C106" s="105">
        <v>7.1</v>
      </c>
      <c r="D106" s="115"/>
      <c r="E106" s="105"/>
      <c r="F106" s="110">
        <v>1.44</v>
      </c>
      <c r="G106" s="121">
        <f t="shared" ref="G106:G114" si="3">F106*F107</f>
        <v>2.0735999999999999</v>
      </c>
      <c r="H106" s="121"/>
      <c r="I106" s="115">
        <v>2.85</v>
      </c>
      <c r="J106" s="112">
        <f t="shared" ref="J106:J115" si="4">300*G106-300</f>
        <v>322.07999999999993</v>
      </c>
      <c r="K106" s="112">
        <f>SUM(J$3:J106)</f>
        <v>6728.6399999999976</v>
      </c>
      <c r="L106" s="112">
        <f t="shared" ref="L106:L115" si="5">150*I106-150</f>
        <v>277.5</v>
      </c>
      <c r="M106" s="112">
        <f>SUBTOTAL(9,L$4:L106)</f>
        <v>11415</v>
      </c>
      <c r="N106" s="112"/>
    </row>
    <row r="107" spans="2:14" x14ac:dyDescent="0.25">
      <c r="B107" s="103">
        <v>644</v>
      </c>
      <c r="C107" s="105">
        <v>5.9</v>
      </c>
      <c r="D107" s="115"/>
      <c r="E107" s="105"/>
      <c r="F107" s="110">
        <v>1.44</v>
      </c>
      <c r="G107" s="121">
        <f t="shared" si="3"/>
        <v>2.0735999999999999</v>
      </c>
      <c r="H107" s="121"/>
      <c r="I107" s="115">
        <v>2.85</v>
      </c>
      <c r="J107" s="112">
        <f t="shared" si="4"/>
        <v>322.07999999999993</v>
      </c>
      <c r="K107" s="112">
        <f>SUM(J$3:J107)</f>
        <v>7050.7199999999975</v>
      </c>
      <c r="L107" s="112">
        <f t="shared" si="5"/>
        <v>277.5</v>
      </c>
      <c r="M107" s="112">
        <f>SUBTOTAL(9,L$4:L107)</f>
        <v>11692.5</v>
      </c>
      <c r="N107" s="112"/>
    </row>
    <row r="108" spans="2:14" x14ac:dyDescent="0.25">
      <c r="B108" s="103">
        <v>645</v>
      </c>
      <c r="C108" s="105">
        <v>5.9</v>
      </c>
      <c r="D108" s="115"/>
      <c r="E108" s="105"/>
      <c r="F108" s="110">
        <v>1.44</v>
      </c>
      <c r="G108" s="121">
        <f t="shared" si="3"/>
        <v>2.0735999999999999</v>
      </c>
      <c r="H108" s="121"/>
      <c r="I108" s="115">
        <v>2.85</v>
      </c>
      <c r="J108" s="112">
        <f t="shared" si="4"/>
        <v>322.07999999999993</v>
      </c>
      <c r="K108" s="112">
        <f>SUM(J$3:J108)</f>
        <v>7372.7999999999975</v>
      </c>
      <c r="L108" s="112">
        <f t="shared" si="5"/>
        <v>277.5</v>
      </c>
      <c r="M108" s="112">
        <f>SUBTOTAL(9,L$4:L108)</f>
        <v>11970</v>
      </c>
      <c r="N108" s="112"/>
    </row>
    <row r="109" spans="2:14" x14ac:dyDescent="0.25">
      <c r="B109" s="105">
        <v>646</v>
      </c>
      <c r="C109" s="105">
        <v>9.0500000000000007</v>
      </c>
      <c r="D109" s="115"/>
      <c r="E109" s="105"/>
      <c r="F109" s="110">
        <v>1.44</v>
      </c>
      <c r="G109" s="121">
        <f t="shared" si="3"/>
        <v>2.0735999999999999</v>
      </c>
      <c r="H109" s="121"/>
      <c r="I109" s="115">
        <v>2.85</v>
      </c>
      <c r="J109" s="112">
        <f t="shared" si="4"/>
        <v>322.07999999999993</v>
      </c>
      <c r="K109" s="112">
        <f>SUM(J$3:J109)</f>
        <v>7694.8799999999974</v>
      </c>
      <c r="L109" s="112">
        <f t="shared" si="5"/>
        <v>277.5</v>
      </c>
      <c r="M109" s="112">
        <f>SUBTOTAL(9,L$4:L109)</f>
        <v>12247.5</v>
      </c>
      <c r="N109" s="112"/>
    </row>
    <row r="110" spans="2:14" x14ac:dyDescent="0.25">
      <c r="B110" s="105">
        <v>647</v>
      </c>
      <c r="C110" s="105">
        <v>9</v>
      </c>
      <c r="D110" s="115"/>
      <c r="E110" s="105"/>
      <c r="F110" s="110">
        <v>1.44</v>
      </c>
      <c r="G110" s="121">
        <f t="shared" si="3"/>
        <v>2.0735999999999999</v>
      </c>
      <c r="H110" s="121"/>
      <c r="I110" s="115">
        <v>2.85</v>
      </c>
      <c r="J110" s="112">
        <f t="shared" si="4"/>
        <v>322.07999999999993</v>
      </c>
      <c r="K110" s="112">
        <f>SUM(J$3:J110)</f>
        <v>8016.9599999999973</v>
      </c>
      <c r="L110" s="112">
        <f t="shared" si="5"/>
        <v>277.5</v>
      </c>
      <c r="M110" s="112">
        <f>SUBTOTAL(9,L$4:L110)</f>
        <v>12525</v>
      </c>
      <c r="N110" s="112"/>
    </row>
    <row r="111" spans="2:14" x14ac:dyDescent="0.25">
      <c r="B111" s="105">
        <v>648</v>
      </c>
      <c r="C111" s="105">
        <v>7.1</v>
      </c>
      <c r="D111" s="115"/>
      <c r="E111" s="105"/>
      <c r="F111" s="110">
        <v>1.44</v>
      </c>
      <c r="G111" s="121">
        <f t="shared" si="3"/>
        <v>2.0735999999999999</v>
      </c>
      <c r="H111" s="121"/>
      <c r="I111" s="115">
        <v>2.85</v>
      </c>
      <c r="J111" s="112">
        <f t="shared" si="4"/>
        <v>322.07999999999993</v>
      </c>
      <c r="K111" s="112">
        <f>SUM(J$3:J111)</f>
        <v>8339.0399999999972</v>
      </c>
      <c r="L111" s="112">
        <f t="shared" si="5"/>
        <v>277.5</v>
      </c>
      <c r="M111" s="112">
        <f>SUBTOTAL(9,L$4:L111)</f>
        <v>12802.5</v>
      </c>
      <c r="N111" s="112"/>
    </row>
    <row r="112" spans="2:14" x14ac:dyDescent="0.25">
      <c r="B112" s="105">
        <v>649</v>
      </c>
      <c r="C112" s="105">
        <v>6.1</v>
      </c>
      <c r="D112" s="115"/>
      <c r="E112" s="105"/>
      <c r="F112" s="110">
        <v>1.44</v>
      </c>
      <c r="G112" s="121">
        <f t="shared" si="3"/>
        <v>2.0735999999999999</v>
      </c>
      <c r="H112" s="121"/>
      <c r="I112" s="115">
        <v>2.85</v>
      </c>
      <c r="J112" s="112">
        <f t="shared" si="4"/>
        <v>322.07999999999993</v>
      </c>
      <c r="K112" s="112">
        <f>SUM(J$3:J112)</f>
        <v>8661.1199999999972</v>
      </c>
      <c r="L112" s="112">
        <f t="shared" si="5"/>
        <v>277.5</v>
      </c>
      <c r="M112" s="112">
        <f>SUBTOTAL(9,L$4:L112)</f>
        <v>13080</v>
      </c>
      <c r="N112" s="112"/>
    </row>
    <row r="113" spans="2:14" x14ac:dyDescent="0.25">
      <c r="B113" s="103">
        <v>650</v>
      </c>
      <c r="C113" s="105">
        <v>5.9</v>
      </c>
      <c r="D113" s="115"/>
      <c r="E113" s="105"/>
      <c r="F113" s="110">
        <v>1.44</v>
      </c>
      <c r="G113" s="121">
        <f t="shared" si="3"/>
        <v>2.0735999999999999</v>
      </c>
      <c r="H113" s="121"/>
      <c r="I113" s="115">
        <v>2.85</v>
      </c>
      <c r="J113" s="112">
        <f t="shared" si="4"/>
        <v>322.07999999999993</v>
      </c>
      <c r="K113" s="112">
        <f>SUM(J$3:J113)</f>
        <v>8983.1999999999971</v>
      </c>
      <c r="L113" s="112">
        <f t="shared" si="5"/>
        <v>277.5</v>
      </c>
      <c r="M113" s="112">
        <f>SUBTOTAL(9,L$4:L113)</f>
        <v>13357.5</v>
      </c>
      <c r="N113" s="112"/>
    </row>
    <row r="114" spans="2:14" x14ac:dyDescent="0.25">
      <c r="B114" s="105">
        <v>651</v>
      </c>
      <c r="C114" s="105">
        <v>9</v>
      </c>
      <c r="D114" s="115"/>
      <c r="E114" s="105"/>
      <c r="F114" s="110">
        <v>1.44</v>
      </c>
      <c r="G114" s="121">
        <f t="shared" si="3"/>
        <v>2.0735999999999999</v>
      </c>
      <c r="H114" s="121"/>
      <c r="I114" s="115">
        <v>2.85</v>
      </c>
      <c r="J114" s="112">
        <f t="shared" si="4"/>
        <v>322.07999999999993</v>
      </c>
      <c r="K114" s="112">
        <f>SUM(J$3:J114)</f>
        <v>9305.279999999997</v>
      </c>
      <c r="L114" s="112">
        <f t="shared" si="5"/>
        <v>277.5</v>
      </c>
      <c r="M114" s="112">
        <f>SUBTOTAL(9,L$4:L114)</f>
        <v>13635</v>
      </c>
      <c r="N114" s="112"/>
    </row>
    <row r="115" spans="2:14" x14ac:dyDescent="0.25">
      <c r="B115" s="105">
        <v>652</v>
      </c>
      <c r="C115" s="105">
        <v>6.1</v>
      </c>
      <c r="D115" s="115"/>
      <c r="E115" s="105"/>
      <c r="F115" s="110">
        <v>1.44</v>
      </c>
      <c r="G115" s="121"/>
      <c r="H115" s="121">
        <f>F115*3.2</f>
        <v>4.6079999999999997</v>
      </c>
      <c r="I115" s="129">
        <v>2.85</v>
      </c>
      <c r="J115" s="112">
        <f t="shared" si="4"/>
        <v>-300</v>
      </c>
      <c r="K115" s="112">
        <f>SUM(J$3:J115)</f>
        <v>9005.279999999997</v>
      </c>
      <c r="L115" s="112">
        <f t="shared" si="5"/>
        <v>277.5</v>
      </c>
      <c r="M115" s="112">
        <f>SUBTOTAL(9,L$4:L115)</f>
        <v>13912.5</v>
      </c>
      <c r="N115" s="112"/>
    </row>
    <row r="116" spans="2:14" x14ac:dyDescent="0.25">
      <c r="B116" s="103">
        <v>653</v>
      </c>
      <c r="C116" s="104">
        <v>3.2</v>
      </c>
      <c r="D116" s="105"/>
      <c r="E116" s="105"/>
      <c r="F116" s="118"/>
      <c r="G116" s="121"/>
      <c r="H116" s="121"/>
      <c r="I116" s="112"/>
      <c r="J116" s="115"/>
      <c r="K116" s="112">
        <f>SUM(J$3:J116)</f>
        <v>9005.279999999997</v>
      </c>
      <c r="L116" s="105"/>
      <c r="M116" s="105"/>
      <c r="N116" s="112"/>
    </row>
    <row r="117" spans="2:14" x14ac:dyDescent="0.25">
      <c r="B117" s="105">
        <v>654</v>
      </c>
      <c r="C117" s="105">
        <v>9</v>
      </c>
      <c r="D117" s="115"/>
      <c r="E117" s="105"/>
      <c r="F117" s="110">
        <v>1.44</v>
      </c>
      <c r="G117" s="121"/>
      <c r="H117" s="121"/>
      <c r="I117" s="112"/>
      <c r="J117" s="115"/>
      <c r="K117" s="112">
        <f>SUM(J$3:J117)</f>
        <v>9005.279999999997</v>
      </c>
      <c r="L117" s="105"/>
      <c r="M117" s="105"/>
      <c r="N117" s="112"/>
    </row>
    <row r="118" spans="2:14" x14ac:dyDescent="0.25">
      <c r="B118" s="105">
        <v>655</v>
      </c>
      <c r="C118" s="105">
        <v>7.1</v>
      </c>
      <c r="D118" s="115"/>
      <c r="E118" s="105"/>
      <c r="F118" s="110">
        <v>1.44</v>
      </c>
      <c r="G118" s="121"/>
      <c r="H118" s="121">
        <f>F118*3.2</f>
        <v>4.6079999999999997</v>
      </c>
      <c r="I118" s="129">
        <v>2.85</v>
      </c>
      <c r="J118" s="112">
        <f>300*G118-300</f>
        <v>-300</v>
      </c>
      <c r="K118" s="112">
        <f>SUM(J$3:J118)</f>
        <v>8705.279999999997</v>
      </c>
      <c r="L118" s="112">
        <f>150*I118-150</f>
        <v>277.5</v>
      </c>
      <c r="M118" s="112">
        <f>SUBTOTAL(9,L$4:L118)</f>
        <v>14190</v>
      </c>
      <c r="N118" s="112"/>
    </row>
    <row r="119" spans="2:14" x14ac:dyDescent="0.25">
      <c r="B119" s="105">
        <v>656</v>
      </c>
      <c r="C119" s="104">
        <v>3.2</v>
      </c>
      <c r="D119" s="105"/>
      <c r="E119" s="105"/>
      <c r="F119" s="118"/>
      <c r="G119" s="121"/>
      <c r="H119" s="121"/>
      <c r="I119" s="112"/>
      <c r="J119" s="115"/>
      <c r="K119" s="112">
        <f>SUM(J$3:J119)</f>
        <v>8705.279999999997</v>
      </c>
      <c r="L119" s="105"/>
      <c r="M119" s="105"/>
      <c r="N119" s="112"/>
    </row>
    <row r="120" spans="2:14" x14ac:dyDescent="0.25">
      <c r="B120" s="105">
        <v>657</v>
      </c>
      <c r="C120" s="105">
        <v>7.1</v>
      </c>
      <c r="D120" s="115"/>
      <c r="E120" s="105"/>
      <c r="F120" s="110">
        <v>1.44</v>
      </c>
      <c r="G120" s="121"/>
      <c r="H120" s="121"/>
      <c r="I120" s="112"/>
      <c r="J120" s="115"/>
      <c r="K120" s="112">
        <f>SUM(J$3:J120)</f>
        <v>8705.279999999997</v>
      </c>
      <c r="L120" s="105"/>
      <c r="M120" s="105"/>
      <c r="N120" s="112"/>
    </row>
    <row r="121" spans="2:14" x14ac:dyDescent="0.25">
      <c r="B121" s="103">
        <v>658</v>
      </c>
      <c r="C121" s="104">
        <v>3.2</v>
      </c>
      <c r="D121" s="105"/>
      <c r="E121" s="105"/>
      <c r="F121" s="110"/>
      <c r="G121" s="121">
        <v>0</v>
      </c>
      <c r="H121" s="121">
        <v>0</v>
      </c>
      <c r="I121" s="112">
        <v>0</v>
      </c>
      <c r="J121" s="119"/>
      <c r="K121" s="112">
        <f>SUM(J$3:J121)</f>
        <v>8705.279999999997</v>
      </c>
      <c r="L121" s="112">
        <f>150*I121-150</f>
        <v>-150</v>
      </c>
      <c r="M121" s="112">
        <f>SUBTOTAL(9,L$4:L121)</f>
        <v>14040</v>
      </c>
      <c r="N121" s="112"/>
    </row>
    <row r="122" spans="2:14" x14ac:dyDescent="0.25">
      <c r="B122" s="103">
        <v>659</v>
      </c>
      <c r="C122" s="104">
        <v>3.2</v>
      </c>
      <c r="D122" s="105"/>
      <c r="E122" s="105"/>
      <c r="F122" s="118"/>
      <c r="G122" s="121"/>
      <c r="H122" s="121"/>
      <c r="I122" s="112"/>
      <c r="J122" s="115"/>
      <c r="K122" s="112">
        <f>SUM(J$3:J122)</f>
        <v>8705.279999999997</v>
      </c>
      <c r="L122" s="105"/>
      <c r="M122" s="105"/>
      <c r="N122" s="112"/>
    </row>
    <row r="123" spans="2:14" x14ac:dyDescent="0.25">
      <c r="B123" s="103">
        <v>660</v>
      </c>
      <c r="C123" s="105">
        <v>5.9</v>
      </c>
      <c r="D123" s="115"/>
      <c r="E123" s="105"/>
      <c r="F123" s="110">
        <v>1.44</v>
      </c>
      <c r="G123" s="121"/>
      <c r="H123" s="121"/>
      <c r="I123" s="112"/>
      <c r="J123" s="115"/>
      <c r="K123" s="112">
        <f>SUM(J$3:J123)</f>
        <v>8705.279999999997</v>
      </c>
      <c r="L123" s="105"/>
      <c r="M123" s="105"/>
      <c r="N123" s="112"/>
    </row>
    <row r="124" spans="2:14" x14ac:dyDescent="0.25">
      <c r="B124" s="105">
        <v>661</v>
      </c>
      <c r="C124" s="105">
        <v>6.1</v>
      </c>
      <c r="D124" s="115"/>
      <c r="E124" s="105"/>
      <c r="F124" s="110">
        <v>1.44</v>
      </c>
      <c r="G124" s="121">
        <f>F124*F125</f>
        <v>2.0735999999999999</v>
      </c>
      <c r="H124" s="121"/>
      <c r="I124" s="115">
        <v>2.85</v>
      </c>
      <c r="J124" s="112">
        <f>300*G124-300</f>
        <v>322.07999999999993</v>
      </c>
      <c r="K124" s="112">
        <f>SUM(J$3:J124)</f>
        <v>9027.3599999999969</v>
      </c>
      <c r="L124" s="112">
        <f>150*I124-150</f>
        <v>277.5</v>
      </c>
      <c r="M124" s="112">
        <f>SUBTOTAL(9,L$4:L124)</f>
        <v>14317.5</v>
      </c>
      <c r="N124" s="112"/>
    </row>
    <row r="125" spans="2:14" x14ac:dyDescent="0.25">
      <c r="B125" s="103">
        <v>662</v>
      </c>
      <c r="C125" s="105">
        <v>5.9</v>
      </c>
      <c r="D125" s="115"/>
      <c r="E125" s="105"/>
      <c r="F125" s="110">
        <v>1.44</v>
      </c>
      <c r="G125" s="121"/>
      <c r="H125" s="121">
        <f>F125*3.2</f>
        <v>4.6079999999999997</v>
      </c>
      <c r="I125" s="129">
        <v>2.85</v>
      </c>
      <c r="J125" s="112">
        <f>300*G125-300</f>
        <v>-300</v>
      </c>
      <c r="K125" s="112">
        <f>SUM(J$3:J125)</f>
        <v>8727.3599999999969</v>
      </c>
      <c r="L125" s="112">
        <f>150*I125-150</f>
        <v>277.5</v>
      </c>
      <c r="M125" s="112">
        <f>SUBTOTAL(9,L$4:L125)</f>
        <v>14595</v>
      </c>
      <c r="N125" s="112"/>
    </row>
    <row r="126" spans="2:14" x14ac:dyDescent="0.25">
      <c r="B126" s="103">
        <v>663</v>
      </c>
      <c r="C126" s="104">
        <v>3.2</v>
      </c>
      <c r="D126" s="105"/>
      <c r="E126" s="105"/>
      <c r="F126" s="118"/>
      <c r="G126" s="121"/>
      <c r="H126" s="121"/>
      <c r="I126" s="112"/>
      <c r="J126" s="115"/>
      <c r="K126" s="112">
        <f>SUM(J$3:J126)</f>
        <v>8727.3599999999969</v>
      </c>
      <c r="L126" s="105"/>
      <c r="M126" s="105"/>
      <c r="N126" s="112"/>
    </row>
    <row r="127" spans="2:14" x14ac:dyDescent="0.25">
      <c r="B127" s="103">
        <v>664</v>
      </c>
      <c r="C127" s="105">
        <v>5.9</v>
      </c>
      <c r="D127" s="115"/>
      <c r="E127" s="105"/>
      <c r="F127" s="110">
        <v>1.44</v>
      </c>
      <c r="G127" s="121"/>
      <c r="H127" s="121"/>
      <c r="I127" s="112"/>
      <c r="J127" s="115"/>
      <c r="K127" s="112">
        <f>SUM(J$3:J127)</f>
        <v>8727.3599999999969</v>
      </c>
      <c r="L127" s="105"/>
      <c r="M127" s="105"/>
      <c r="N127" s="112"/>
    </row>
    <row r="128" spans="2:14" x14ac:dyDescent="0.25">
      <c r="B128" s="105">
        <v>665</v>
      </c>
      <c r="C128" s="105">
        <v>9</v>
      </c>
      <c r="D128" s="115"/>
      <c r="E128" s="105"/>
      <c r="F128" s="110">
        <v>1.44</v>
      </c>
      <c r="G128" s="121"/>
      <c r="H128" s="121">
        <f>F128*3.2</f>
        <v>4.6079999999999997</v>
      </c>
      <c r="I128" s="129">
        <v>2.85</v>
      </c>
      <c r="J128" s="112">
        <f>300*G128-300</f>
        <v>-300</v>
      </c>
      <c r="K128" s="112">
        <f>SUM(J$3:J128)</f>
        <v>8427.3599999999969</v>
      </c>
      <c r="L128" s="112">
        <f>150*I128-150</f>
        <v>277.5</v>
      </c>
      <c r="M128" s="112">
        <f>SUBTOTAL(9,L$4:L128)</f>
        <v>14872.5</v>
      </c>
      <c r="N128" s="112"/>
    </row>
    <row r="129" spans="2:14" x14ac:dyDescent="0.25">
      <c r="B129" s="105">
        <v>666</v>
      </c>
      <c r="C129" s="105"/>
      <c r="D129" s="105"/>
      <c r="E129" s="105"/>
      <c r="F129" s="118"/>
      <c r="G129" s="121"/>
      <c r="H129" s="121"/>
      <c r="I129" s="112"/>
      <c r="J129" s="115"/>
      <c r="K129" s="112">
        <f>SUM(J$3:J129)</f>
        <v>8427.3599999999969</v>
      </c>
      <c r="L129" s="105"/>
      <c r="M129" s="105"/>
      <c r="N129" s="112"/>
    </row>
    <row r="130" spans="2:14" x14ac:dyDescent="0.25">
      <c r="B130" s="105">
        <v>667</v>
      </c>
      <c r="C130" s="105">
        <v>7.1</v>
      </c>
      <c r="D130" s="115"/>
      <c r="E130" s="105"/>
      <c r="F130" s="110">
        <v>1.44</v>
      </c>
      <c r="G130" s="121"/>
      <c r="H130" s="121"/>
      <c r="I130" s="112"/>
      <c r="J130" s="115"/>
      <c r="K130" s="112">
        <f>SUM(J$3:J130)</f>
        <v>8427.3599999999969</v>
      </c>
      <c r="L130" s="105"/>
      <c r="M130" s="105"/>
      <c r="N130" s="112"/>
    </row>
    <row r="131" spans="2:14" x14ac:dyDescent="0.25">
      <c r="B131" s="103">
        <v>668</v>
      </c>
      <c r="C131" s="105">
        <v>5.9</v>
      </c>
      <c r="D131" s="115"/>
      <c r="E131" s="105"/>
      <c r="F131" s="110">
        <v>1.44</v>
      </c>
      <c r="G131" s="121"/>
      <c r="H131" s="121">
        <f>F131*3.2</f>
        <v>4.6079999999999997</v>
      </c>
      <c r="I131" s="129">
        <v>2.85</v>
      </c>
      <c r="J131" s="112">
        <f>300*G131-300</f>
        <v>-300</v>
      </c>
      <c r="K131" s="112">
        <f>SUM(J$3:J131)</f>
        <v>8127.3599999999969</v>
      </c>
      <c r="L131" s="112">
        <f>150*I131-150</f>
        <v>277.5</v>
      </c>
      <c r="M131" s="112">
        <f>SUBTOTAL(9,L$4:L131)</f>
        <v>15150</v>
      </c>
      <c r="N131" s="112"/>
    </row>
    <row r="132" spans="2:14" x14ac:dyDescent="0.25">
      <c r="B132" s="103">
        <v>669</v>
      </c>
      <c r="C132" s="104">
        <v>3.2</v>
      </c>
      <c r="D132" s="105"/>
      <c r="E132" s="105"/>
      <c r="F132" s="118"/>
      <c r="G132" s="121"/>
      <c r="H132" s="121"/>
      <c r="I132" s="112"/>
      <c r="J132" s="115"/>
      <c r="K132" s="112">
        <f>SUM(J$3:J132)</f>
        <v>8127.3599999999969</v>
      </c>
      <c r="L132" s="105"/>
      <c r="M132" s="105"/>
      <c r="N132" s="112"/>
    </row>
    <row r="133" spans="2:14" x14ac:dyDescent="0.25">
      <c r="B133" s="105">
        <v>670</v>
      </c>
      <c r="C133" s="105">
        <v>6.1</v>
      </c>
      <c r="D133" s="115"/>
      <c r="E133" s="105"/>
      <c r="F133" s="110">
        <v>1.44</v>
      </c>
      <c r="G133" s="121"/>
      <c r="H133" s="121"/>
      <c r="I133" s="112"/>
      <c r="J133" s="115"/>
      <c r="K133" s="112">
        <f>SUM(J$3:J133)</f>
        <v>8127.3599999999969</v>
      </c>
      <c r="L133" s="105"/>
      <c r="M133" s="105"/>
      <c r="N133" s="112"/>
    </row>
    <row r="134" spans="2:14" x14ac:dyDescent="0.25">
      <c r="B134" s="105">
        <v>671</v>
      </c>
      <c r="C134" s="105">
        <v>7.1</v>
      </c>
      <c r="D134" s="115"/>
      <c r="E134" s="105"/>
      <c r="F134" s="110">
        <v>1.44</v>
      </c>
      <c r="G134" s="121">
        <f t="shared" ref="G134:G139" si="6">F134*F135</f>
        <v>2.0735999999999999</v>
      </c>
      <c r="H134" s="121"/>
      <c r="I134" s="115">
        <v>2.85</v>
      </c>
      <c r="J134" s="112">
        <f t="shared" ref="J134:J140" si="7">300*G134-300</f>
        <v>322.07999999999993</v>
      </c>
      <c r="K134" s="112">
        <f>SUM(J$3:J134)</f>
        <v>8449.4399999999969</v>
      </c>
      <c r="L134" s="112">
        <f t="shared" ref="L134:L140" si="8">150*I134-150</f>
        <v>277.5</v>
      </c>
      <c r="M134" s="112">
        <f>SUBTOTAL(9,L$4:L134)</f>
        <v>15427.5</v>
      </c>
      <c r="N134" s="112"/>
    </row>
    <row r="135" spans="2:14" x14ac:dyDescent="0.25">
      <c r="B135" s="105">
        <v>672</v>
      </c>
      <c r="C135" s="105">
        <v>7.1</v>
      </c>
      <c r="D135" s="115"/>
      <c r="E135" s="105"/>
      <c r="F135" s="110">
        <v>1.44</v>
      </c>
      <c r="G135" s="121">
        <f t="shared" si="6"/>
        <v>2.0735999999999999</v>
      </c>
      <c r="H135" s="121"/>
      <c r="I135" s="115">
        <v>2.85</v>
      </c>
      <c r="J135" s="112">
        <f t="shared" si="7"/>
        <v>322.07999999999993</v>
      </c>
      <c r="K135" s="112">
        <f>SUM(J$3:J135)</f>
        <v>8771.5199999999968</v>
      </c>
      <c r="L135" s="112">
        <f t="shared" si="8"/>
        <v>277.5</v>
      </c>
      <c r="M135" s="112">
        <f>SUBTOTAL(9,L$4:L135)</f>
        <v>15705</v>
      </c>
      <c r="N135" s="112"/>
    </row>
    <row r="136" spans="2:14" x14ac:dyDescent="0.25">
      <c r="B136" s="105">
        <v>673</v>
      </c>
      <c r="C136" s="105">
        <v>9</v>
      </c>
      <c r="D136" s="115"/>
      <c r="E136" s="105"/>
      <c r="F136" s="110">
        <v>1.44</v>
      </c>
      <c r="G136" s="121">
        <f t="shared" si="6"/>
        <v>2.0735999999999999</v>
      </c>
      <c r="H136" s="121"/>
      <c r="I136" s="115">
        <v>2.85</v>
      </c>
      <c r="J136" s="112">
        <f t="shared" si="7"/>
        <v>322.07999999999993</v>
      </c>
      <c r="K136" s="112">
        <f>SUM(J$3:J136)</f>
        <v>9093.5999999999967</v>
      </c>
      <c r="L136" s="112">
        <f t="shared" si="8"/>
        <v>277.5</v>
      </c>
      <c r="M136" s="112">
        <f>SUBTOTAL(9,L$4:L136)</f>
        <v>15982.5</v>
      </c>
      <c r="N136" s="112"/>
    </row>
    <row r="137" spans="2:14" x14ac:dyDescent="0.25">
      <c r="B137" s="103">
        <v>674</v>
      </c>
      <c r="C137" s="105">
        <v>5.9</v>
      </c>
      <c r="D137" s="115"/>
      <c r="E137" s="105"/>
      <c r="F137" s="110">
        <v>1.44</v>
      </c>
      <c r="G137" s="121">
        <f t="shared" si="6"/>
        <v>2.0735999999999999</v>
      </c>
      <c r="H137" s="121"/>
      <c r="I137" s="115">
        <v>2.85</v>
      </c>
      <c r="J137" s="112">
        <f t="shared" si="7"/>
        <v>322.07999999999993</v>
      </c>
      <c r="K137" s="112">
        <f>SUM(J$3:J137)</f>
        <v>9415.6799999999967</v>
      </c>
      <c r="L137" s="112">
        <f t="shared" si="8"/>
        <v>277.5</v>
      </c>
      <c r="M137" s="112">
        <f>SUBTOTAL(9,L$4:L137)</f>
        <v>16260</v>
      </c>
      <c r="N137" s="112"/>
    </row>
    <row r="138" spans="2:14" x14ac:dyDescent="0.25">
      <c r="B138" s="105">
        <v>675</v>
      </c>
      <c r="C138" s="105">
        <v>9</v>
      </c>
      <c r="D138" s="115"/>
      <c r="E138" s="105"/>
      <c r="F138" s="110">
        <v>1.44</v>
      </c>
      <c r="G138" s="121">
        <f t="shared" si="6"/>
        <v>2.0735999999999999</v>
      </c>
      <c r="H138" s="121"/>
      <c r="I138" s="115">
        <v>2.85</v>
      </c>
      <c r="J138" s="112">
        <f t="shared" si="7"/>
        <v>322.07999999999993</v>
      </c>
      <c r="K138" s="112">
        <f>SUM(J$3:J138)</f>
        <v>9737.7599999999966</v>
      </c>
      <c r="L138" s="112">
        <f t="shared" si="8"/>
        <v>277.5</v>
      </c>
      <c r="M138" s="112">
        <f>SUBTOTAL(9,L$4:L138)</f>
        <v>16537.5</v>
      </c>
      <c r="N138" s="112"/>
    </row>
    <row r="139" spans="2:14" x14ac:dyDescent="0.25">
      <c r="B139" s="105">
        <v>676</v>
      </c>
      <c r="C139" s="105">
        <v>7.1</v>
      </c>
      <c r="D139" s="115"/>
      <c r="E139" s="105"/>
      <c r="F139" s="110">
        <v>1.44</v>
      </c>
      <c r="G139" s="121">
        <f t="shared" si="6"/>
        <v>2.0735999999999999</v>
      </c>
      <c r="H139" s="121"/>
      <c r="I139" s="115">
        <v>2.85</v>
      </c>
      <c r="J139" s="112">
        <f t="shared" si="7"/>
        <v>322.07999999999993</v>
      </c>
      <c r="K139" s="112">
        <f>SUM(J$3:J139)</f>
        <v>10059.839999999997</v>
      </c>
      <c r="L139" s="112">
        <f t="shared" si="8"/>
        <v>277.5</v>
      </c>
      <c r="M139" s="112">
        <f>SUBTOTAL(9,L$4:L139)</f>
        <v>16815</v>
      </c>
      <c r="N139" s="112"/>
    </row>
    <row r="140" spans="2:14" x14ac:dyDescent="0.25">
      <c r="B140" s="105">
        <v>677</v>
      </c>
      <c r="C140" s="105">
        <v>7.1</v>
      </c>
      <c r="D140" s="115"/>
      <c r="E140" s="105"/>
      <c r="F140" s="110">
        <v>1.44</v>
      </c>
      <c r="G140" s="121"/>
      <c r="H140" s="121">
        <f>F140*3.2</f>
        <v>4.6079999999999997</v>
      </c>
      <c r="I140" s="129">
        <v>2.85</v>
      </c>
      <c r="J140" s="112">
        <f t="shared" si="7"/>
        <v>-300</v>
      </c>
      <c r="K140" s="112">
        <f>SUM(J$3:J140)</f>
        <v>9759.8399999999965</v>
      </c>
      <c r="L140" s="112">
        <f t="shared" si="8"/>
        <v>277.5</v>
      </c>
      <c r="M140" s="112">
        <f>SUBTOTAL(9,L$4:L140)</f>
        <v>17092.5</v>
      </c>
      <c r="N140" s="112"/>
    </row>
    <row r="141" spans="2:14" ht="15.75" x14ac:dyDescent="0.25">
      <c r="B141" s="103">
        <v>678</v>
      </c>
      <c r="C141" s="104">
        <v>3.2</v>
      </c>
      <c r="D141" s="105"/>
      <c r="E141" s="105"/>
      <c r="F141" s="110"/>
      <c r="G141" s="121"/>
      <c r="H141" s="121"/>
      <c r="I141" s="112"/>
      <c r="J141" s="119"/>
      <c r="K141" s="112">
        <f>SUM(J$3:J141)</f>
        <v>9759.8399999999965</v>
      </c>
      <c r="L141" s="113"/>
      <c r="M141" s="113"/>
      <c r="N141" s="112"/>
    </row>
    <row r="142" spans="2:14" ht="15.75" x14ac:dyDescent="0.25">
      <c r="B142" s="103">
        <v>679</v>
      </c>
      <c r="C142" s="104">
        <v>3.2</v>
      </c>
      <c r="D142" s="105"/>
      <c r="E142" s="105"/>
      <c r="F142" s="110"/>
      <c r="G142" s="121"/>
      <c r="H142" s="121"/>
      <c r="I142" s="112"/>
      <c r="J142" s="119"/>
      <c r="K142" s="112">
        <f>SUM(J$3:J142)</f>
        <v>9759.8399999999965</v>
      </c>
      <c r="L142" s="113"/>
      <c r="M142" s="113"/>
      <c r="N142" s="112"/>
    </row>
    <row r="143" spans="2:14" x14ac:dyDescent="0.25">
      <c r="B143" s="103">
        <v>680</v>
      </c>
      <c r="C143" s="104">
        <v>3.2</v>
      </c>
      <c r="D143" s="105"/>
      <c r="E143" s="105"/>
      <c r="F143" s="118"/>
      <c r="G143" s="121"/>
      <c r="H143" s="121"/>
      <c r="I143" s="112"/>
      <c r="J143" s="115"/>
      <c r="K143" s="112">
        <f>SUM(J$3:J143)</f>
        <v>9759.8399999999965</v>
      </c>
      <c r="L143" s="105"/>
      <c r="M143" s="105"/>
      <c r="N143" s="112"/>
    </row>
    <row r="144" spans="2:14" x14ac:dyDescent="0.25">
      <c r="B144" s="105">
        <v>681</v>
      </c>
      <c r="C144" s="105">
        <v>6.1</v>
      </c>
      <c r="D144" s="115"/>
      <c r="E144" s="105"/>
      <c r="F144" s="110">
        <v>1.44</v>
      </c>
      <c r="G144" s="121"/>
      <c r="H144" s="121"/>
      <c r="I144" s="112"/>
      <c r="J144" s="115"/>
      <c r="K144" s="112">
        <f>SUM(J$3:J144)</f>
        <v>9759.8399999999965</v>
      </c>
      <c r="L144" s="105"/>
      <c r="M144" s="105"/>
      <c r="N144" s="112"/>
    </row>
    <row r="145" spans="2:14" x14ac:dyDescent="0.25">
      <c r="B145" s="103">
        <v>682</v>
      </c>
      <c r="C145" s="104">
        <v>3.2</v>
      </c>
      <c r="D145" s="105"/>
      <c r="E145" s="105"/>
      <c r="F145" s="118"/>
      <c r="G145" s="121"/>
      <c r="H145" s="121">
        <v>0</v>
      </c>
      <c r="I145" s="112">
        <v>0</v>
      </c>
      <c r="J145" s="115"/>
      <c r="K145" s="112">
        <f>SUM(J$3:J145)</f>
        <v>9759.8399999999965</v>
      </c>
      <c r="L145" s="112">
        <f>150*I145-150</f>
        <v>-150</v>
      </c>
      <c r="M145" s="112">
        <f>SUBTOTAL(9,L$4:L145)</f>
        <v>16942.5</v>
      </c>
      <c r="N145" s="112"/>
    </row>
    <row r="146" spans="2:14" ht="15.75" x14ac:dyDescent="0.25">
      <c r="B146" s="105">
        <v>683</v>
      </c>
      <c r="C146" s="105">
        <v>9</v>
      </c>
      <c r="D146" s="115"/>
      <c r="E146" s="105"/>
      <c r="F146" s="110">
        <v>1.44</v>
      </c>
      <c r="G146" s="121"/>
      <c r="H146" s="121"/>
      <c r="I146" s="112"/>
      <c r="J146" s="115"/>
      <c r="K146" s="112">
        <f>SUM(J$3:J146)</f>
        <v>9759.8399999999965</v>
      </c>
      <c r="L146" s="113"/>
      <c r="M146" s="113"/>
      <c r="N146" s="112"/>
    </row>
    <row r="147" spans="2:14" x14ac:dyDescent="0.25">
      <c r="B147" s="103">
        <v>684</v>
      </c>
      <c r="C147" s="104">
        <v>3.2</v>
      </c>
      <c r="D147" s="105"/>
      <c r="E147" s="105"/>
      <c r="F147" s="118"/>
      <c r="G147" s="121"/>
      <c r="H147" s="121">
        <v>0</v>
      </c>
      <c r="I147" s="112">
        <v>0</v>
      </c>
      <c r="J147" s="115"/>
      <c r="K147" s="112">
        <f>SUM(J$3:J147)</f>
        <v>9759.8399999999965</v>
      </c>
      <c r="L147" s="112">
        <f>150*I147-150</f>
        <v>-150</v>
      </c>
      <c r="M147" s="112">
        <f>SUBTOTAL(9,L$4:L147)</f>
        <v>16792.5</v>
      </c>
      <c r="N147" s="112"/>
    </row>
    <row r="148" spans="2:14" x14ac:dyDescent="0.25">
      <c r="B148" s="105">
        <v>685</v>
      </c>
      <c r="C148" s="105">
        <v>9</v>
      </c>
      <c r="D148" s="115"/>
      <c r="E148" s="105"/>
      <c r="F148" s="110">
        <v>1.44</v>
      </c>
      <c r="G148" s="121"/>
      <c r="H148" s="121"/>
      <c r="I148" s="112"/>
      <c r="J148" s="115"/>
      <c r="K148" s="112">
        <f>SUM(J$3:J148)</f>
        <v>9759.8399999999965</v>
      </c>
      <c r="L148" s="105"/>
      <c r="M148" s="105"/>
      <c r="N148" s="112"/>
    </row>
    <row r="149" spans="2:14" x14ac:dyDescent="0.25">
      <c r="B149" s="103">
        <v>686</v>
      </c>
      <c r="C149" s="104">
        <v>3.2</v>
      </c>
      <c r="D149" s="105"/>
      <c r="E149" s="105"/>
      <c r="F149" s="118"/>
      <c r="G149" s="121"/>
      <c r="H149" s="121">
        <v>0</v>
      </c>
      <c r="I149" s="112">
        <v>0</v>
      </c>
      <c r="J149" s="115"/>
      <c r="K149" s="112">
        <f>SUM(J$3:J149)</f>
        <v>9759.8399999999965</v>
      </c>
      <c r="L149" s="112">
        <f>150*I149-150</f>
        <v>-150</v>
      </c>
      <c r="M149" s="112">
        <f>SUBTOTAL(9,L$4:L149)</f>
        <v>16642.5</v>
      </c>
      <c r="N149" s="112"/>
    </row>
    <row r="150" spans="2:14" ht="15.75" x14ac:dyDescent="0.25">
      <c r="B150" s="105">
        <v>687</v>
      </c>
      <c r="C150" s="105">
        <v>9</v>
      </c>
      <c r="D150" s="115"/>
      <c r="E150" s="105"/>
      <c r="F150" s="110">
        <v>1.44</v>
      </c>
      <c r="G150" s="121"/>
      <c r="H150" s="121"/>
      <c r="I150" s="112"/>
      <c r="J150" s="115"/>
      <c r="K150" s="112">
        <f>SUM(J$3:J150)</f>
        <v>9759.8399999999965</v>
      </c>
      <c r="L150" s="113"/>
      <c r="M150" s="113"/>
      <c r="N150" s="112"/>
    </row>
    <row r="151" spans="2:14" x14ac:dyDescent="0.25">
      <c r="B151" s="105">
        <v>688</v>
      </c>
      <c r="C151" s="105">
        <v>9</v>
      </c>
      <c r="D151" s="115"/>
      <c r="E151" s="105"/>
      <c r="F151" s="110">
        <v>1.44</v>
      </c>
      <c r="G151" s="121"/>
      <c r="H151" s="121">
        <v>4.6100000000000003</v>
      </c>
      <c r="I151" s="129">
        <v>2.85</v>
      </c>
      <c r="J151" s="112">
        <f>300*G151-300</f>
        <v>-300</v>
      </c>
      <c r="K151" s="112">
        <f>SUM(J$3:J151)</f>
        <v>9459.8399999999965</v>
      </c>
      <c r="L151" s="112">
        <f>150*I151-150</f>
        <v>277.5</v>
      </c>
      <c r="M151" s="112">
        <f>SUBTOTAL(9,L$4:L151)</f>
        <v>16920</v>
      </c>
      <c r="N151" s="112"/>
    </row>
    <row r="152" spans="2:14" ht="15.75" x14ac:dyDescent="0.25">
      <c r="B152" s="103">
        <v>689</v>
      </c>
      <c r="C152" s="104">
        <v>3.2</v>
      </c>
      <c r="D152" s="105"/>
      <c r="E152" s="105"/>
      <c r="F152" s="110"/>
      <c r="G152" s="121"/>
      <c r="H152" s="121"/>
      <c r="I152" s="112"/>
      <c r="J152" s="119"/>
      <c r="K152" s="112">
        <f>SUM(J$3:J152)</f>
        <v>9459.8399999999965</v>
      </c>
      <c r="L152" s="113"/>
      <c r="M152" s="113"/>
      <c r="N152" s="112"/>
    </row>
    <row r="153" spans="2:14" ht="15.75" x14ac:dyDescent="0.25">
      <c r="B153" s="103">
        <v>690</v>
      </c>
      <c r="C153" s="104">
        <v>3.2</v>
      </c>
      <c r="D153" s="105"/>
      <c r="E153" s="105"/>
      <c r="F153" s="110"/>
      <c r="G153" s="121"/>
      <c r="H153" s="121"/>
      <c r="I153" s="112"/>
      <c r="J153" s="119"/>
      <c r="K153" s="112">
        <f>SUM(J$3:J153)</f>
        <v>9459.8399999999965</v>
      </c>
      <c r="L153" s="113"/>
      <c r="M153" s="113"/>
      <c r="N153" s="112"/>
    </row>
    <row r="154" spans="2:14" x14ac:dyDescent="0.25">
      <c r="B154" s="103">
        <v>691</v>
      </c>
      <c r="C154" s="104">
        <v>3.2</v>
      </c>
      <c r="D154" s="105"/>
      <c r="E154" s="105"/>
      <c r="F154" s="118"/>
      <c r="G154" s="121"/>
      <c r="H154" s="121"/>
      <c r="I154" s="112"/>
      <c r="J154" s="115"/>
      <c r="K154" s="112">
        <f>SUM(J$3:J154)</f>
        <v>9459.8399999999965</v>
      </c>
      <c r="L154" s="105"/>
      <c r="M154" s="105"/>
      <c r="N154" s="112"/>
    </row>
    <row r="155" spans="2:14" x14ac:dyDescent="0.25">
      <c r="B155" s="105">
        <v>692</v>
      </c>
      <c r="C155" s="105">
        <v>7.1</v>
      </c>
      <c r="D155" s="115"/>
      <c r="E155" s="105"/>
      <c r="F155" s="110">
        <v>1.44</v>
      </c>
      <c r="G155" s="121"/>
      <c r="H155" s="121"/>
      <c r="I155" s="112"/>
      <c r="J155" s="115"/>
      <c r="K155" s="112">
        <f>SUM(J$3:J155)</f>
        <v>9459.8399999999965</v>
      </c>
      <c r="L155" s="105"/>
      <c r="M155" s="105"/>
      <c r="N155" s="112"/>
    </row>
    <row r="156" spans="2:14" x14ac:dyDescent="0.25">
      <c r="B156" s="105">
        <v>693</v>
      </c>
      <c r="C156" s="105">
        <v>7.1</v>
      </c>
      <c r="D156" s="115"/>
      <c r="E156" s="105"/>
      <c r="F156" s="110">
        <v>1.44</v>
      </c>
      <c r="G156" s="121"/>
      <c r="H156" s="121">
        <v>4.6100000000000003</v>
      </c>
      <c r="I156" s="129">
        <v>2.85</v>
      </c>
      <c r="J156" s="112">
        <f>300*G156-300</f>
        <v>-300</v>
      </c>
      <c r="K156" s="112">
        <f>SUM(J$3:J156)</f>
        <v>9159.8399999999965</v>
      </c>
      <c r="L156" s="112">
        <f>150*I156-150</f>
        <v>277.5</v>
      </c>
      <c r="M156" s="112">
        <f>SUBTOTAL(9,L$4:L156)</f>
        <v>17197.5</v>
      </c>
      <c r="N156" s="112"/>
    </row>
    <row r="157" spans="2:14" ht="15.75" x14ac:dyDescent="0.25">
      <c r="B157" s="103">
        <v>694</v>
      </c>
      <c r="C157" s="104">
        <v>3.2</v>
      </c>
      <c r="D157" s="105"/>
      <c r="E157" s="105"/>
      <c r="F157" s="110"/>
      <c r="G157" s="121"/>
      <c r="H157" s="121"/>
      <c r="I157" s="112"/>
      <c r="J157" s="119"/>
      <c r="K157" s="112">
        <f>SUM(J$3:J157)</f>
        <v>9159.8399999999965</v>
      </c>
      <c r="L157" s="113"/>
      <c r="M157" s="113"/>
      <c r="N157" s="112"/>
    </row>
    <row r="158" spans="2:14" ht="15.75" x14ac:dyDescent="0.25">
      <c r="B158" s="103">
        <v>695</v>
      </c>
      <c r="C158" s="104">
        <v>3.2</v>
      </c>
      <c r="D158" s="105"/>
      <c r="E158" s="105"/>
      <c r="F158" s="118"/>
      <c r="G158" s="121"/>
      <c r="H158" s="121"/>
      <c r="I158" s="112"/>
      <c r="J158" s="115"/>
      <c r="K158" s="112">
        <f>SUM(J$3:J158)</f>
        <v>9159.8399999999965</v>
      </c>
      <c r="L158" s="113"/>
      <c r="M158" s="105"/>
      <c r="N158" s="112"/>
    </row>
    <row r="159" spans="2:14" ht="15.75" x14ac:dyDescent="0.25">
      <c r="B159" s="105">
        <v>696</v>
      </c>
      <c r="C159" s="105">
        <v>9</v>
      </c>
      <c r="D159" s="115"/>
      <c r="E159" s="105"/>
      <c r="F159" s="110">
        <v>1.44</v>
      </c>
      <c r="G159" s="121"/>
      <c r="H159" s="121"/>
      <c r="I159" s="112"/>
      <c r="J159" s="115"/>
      <c r="K159" s="112">
        <f>SUM(J$3:J159)</f>
        <v>9159.8399999999965</v>
      </c>
      <c r="L159" s="113"/>
      <c r="M159" s="113"/>
      <c r="N159" s="112"/>
    </row>
    <row r="160" spans="2:14" x14ac:dyDescent="0.25">
      <c r="B160" s="103">
        <v>697</v>
      </c>
      <c r="C160" s="104">
        <v>3.2</v>
      </c>
      <c r="D160" s="105"/>
      <c r="E160" s="105"/>
      <c r="F160" s="110"/>
      <c r="G160" s="121">
        <v>0</v>
      </c>
      <c r="H160" s="121"/>
      <c r="I160" s="112">
        <v>0</v>
      </c>
      <c r="J160" s="119"/>
      <c r="K160" s="112">
        <f>SUM(J$3:J160)</f>
        <v>9159.8399999999965</v>
      </c>
      <c r="L160" s="112">
        <f>150*I160-150</f>
        <v>-150</v>
      </c>
      <c r="M160" s="112">
        <f>SUBTOTAL(9,L$4:L160)</f>
        <v>17047.5</v>
      </c>
      <c r="N160" s="112"/>
    </row>
    <row r="161" spans="2:14" x14ac:dyDescent="0.25">
      <c r="B161" s="105">
        <v>698</v>
      </c>
      <c r="C161" s="105"/>
      <c r="D161" s="105"/>
      <c r="E161" s="105"/>
      <c r="F161" s="110"/>
      <c r="G161" s="121"/>
      <c r="H161" s="121"/>
      <c r="I161" s="112"/>
      <c r="J161" s="119"/>
      <c r="K161" s="112">
        <f>SUM(J$3:J161)</f>
        <v>9159.8399999999965</v>
      </c>
      <c r="L161" s="105"/>
      <c r="M161" s="105"/>
      <c r="N161" s="112"/>
    </row>
    <row r="162" spans="2:14" x14ac:dyDescent="0.25">
      <c r="B162" s="105">
        <v>699</v>
      </c>
      <c r="C162" s="105"/>
      <c r="D162" s="105"/>
      <c r="E162" s="105"/>
      <c r="F162" s="110"/>
      <c r="G162" s="121"/>
      <c r="H162" s="121"/>
      <c r="I162" s="112"/>
      <c r="J162" s="119"/>
      <c r="K162" s="112">
        <f>SUM(J$3:J162)</f>
        <v>9159.8399999999965</v>
      </c>
      <c r="L162" s="105"/>
      <c r="M162" s="105"/>
      <c r="N162" s="112"/>
    </row>
    <row r="163" spans="2:14" x14ac:dyDescent="0.25">
      <c r="B163" s="103">
        <v>700</v>
      </c>
      <c r="C163" s="104">
        <v>3.2</v>
      </c>
      <c r="D163" s="105"/>
      <c r="E163" s="105"/>
      <c r="F163" s="118"/>
      <c r="G163" s="121"/>
      <c r="H163" s="121"/>
      <c r="I163" s="112"/>
      <c r="J163" s="115"/>
      <c r="K163" s="112">
        <f>SUM(J$3:J163)</f>
        <v>9159.8399999999965</v>
      </c>
      <c r="L163" s="105"/>
      <c r="M163" s="105"/>
      <c r="N163" s="112"/>
    </row>
    <row r="164" spans="2:14" x14ac:dyDescent="0.25">
      <c r="B164" s="103">
        <v>701</v>
      </c>
      <c r="C164" s="105">
        <v>5.9</v>
      </c>
      <c r="D164" s="115"/>
      <c r="E164" s="105"/>
      <c r="F164" s="110">
        <v>1.44</v>
      </c>
      <c r="G164" s="121"/>
      <c r="H164" s="121"/>
      <c r="I164" s="112"/>
      <c r="J164" s="115"/>
      <c r="K164" s="112">
        <f>SUM(J$3:J164)</f>
        <v>9159.8399999999965</v>
      </c>
      <c r="L164" s="105"/>
      <c r="M164" s="105"/>
      <c r="N164" s="112"/>
    </row>
    <row r="165" spans="2:14" x14ac:dyDescent="0.25">
      <c r="B165" s="105">
        <v>702</v>
      </c>
      <c r="C165" s="105">
        <v>7.1</v>
      </c>
      <c r="D165" s="115"/>
      <c r="E165" s="105"/>
      <c r="F165" s="110">
        <v>1.44</v>
      </c>
      <c r="G165" s="121">
        <f>F165*F166</f>
        <v>2.0735999999999999</v>
      </c>
      <c r="H165" s="121"/>
      <c r="I165" s="115">
        <v>2.85</v>
      </c>
      <c r="J165" s="112">
        <f>300*G165-300</f>
        <v>322.07999999999993</v>
      </c>
      <c r="K165" s="112">
        <f>SUM(J$3:J165)</f>
        <v>9481.9199999999964</v>
      </c>
      <c r="L165" s="112">
        <f>150*I165-150</f>
        <v>277.5</v>
      </c>
      <c r="M165" s="112">
        <f>SUBTOTAL(9,L$4:L165)</f>
        <v>17325</v>
      </c>
      <c r="N165" s="112"/>
    </row>
    <row r="166" spans="2:14" x14ac:dyDescent="0.25">
      <c r="B166" s="105">
        <v>703</v>
      </c>
      <c r="C166" s="105">
        <v>6.1</v>
      </c>
      <c r="D166" s="115"/>
      <c r="E166" s="105"/>
      <c r="F166" s="110">
        <v>1.44</v>
      </c>
      <c r="G166" s="121"/>
      <c r="H166" s="121">
        <v>4.6100000000000003</v>
      </c>
      <c r="I166" s="129">
        <v>2.85</v>
      </c>
      <c r="J166" s="112">
        <f>300*G166-300</f>
        <v>-300</v>
      </c>
      <c r="K166" s="112">
        <f>SUM(J$3:J166)</f>
        <v>9181.9199999999964</v>
      </c>
      <c r="L166" s="112">
        <f>150*I166-150</f>
        <v>277.5</v>
      </c>
      <c r="M166" s="112">
        <f>SUBTOTAL(9,L$4:L166)</f>
        <v>17602.5</v>
      </c>
      <c r="N166" s="112"/>
    </row>
    <row r="167" spans="2:14" x14ac:dyDescent="0.25">
      <c r="B167" s="103">
        <v>704</v>
      </c>
      <c r="C167" s="104">
        <v>3.2</v>
      </c>
      <c r="D167" s="105"/>
      <c r="E167" s="105"/>
      <c r="F167" s="118"/>
      <c r="G167" s="121"/>
      <c r="H167" s="121"/>
      <c r="I167" s="112"/>
      <c r="J167" s="115"/>
      <c r="K167" s="112">
        <f>SUM(J$3:J167)</f>
        <v>9181.9199999999964</v>
      </c>
      <c r="L167" s="105"/>
      <c r="M167" s="105"/>
      <c r="N167" s="112"/>
    </row>
    <row r="168" spans="2:14" x14ac:dyDescent="0.25">
      <c r="B168" s="105">
        <v>705</v>
      </c>
      <c r="C168" s="105">
        <v>7.1</v>
      </c>
      <c r="D168" s="115"/>
      <c r="E168" s="105"/>
      <c r="F168" s="110">
        <v>1.44</v>
      </c>
      <c r="G168" s="121"/>
      <c r="H168" s="121"/>
      <c r="I168" s="112"/>
      <c r="J168" s="115"/>
      <c r="K168" s="112">
        <f>SUM(J$3:J168)</f>
        <v>9181.9199999999964</v>
      </c>
      <c r="L168" s="105"/>
      <c r="M168" s="105"/>
      <c r="N168" s="112"/>
    </row>
    <row r="169" spans="2:14" x14ac:dyDescent="0.25">
      <c r="B169" s="103">
        <v>706</v>
      </c>
      <c r="C169" s="105">
        <v>5.9</v>
      </c>
      <c r="D169" s="115"/>
      <c r="E169" s="105"/>
      <c r="F169" s="110">
        <v>1.44</v>
      </c>
      <c r="G169" s="121">
        <f>F169*F170</f>
        <v>2.0735999999999999</v>
      </c>
      <c r="H169" s="121"/>
      <c r="I169" s="115">
        <v>2.85</v>
      </c>
      <c r="J169" s="112">
        <f>300*G169-300</f>
        <v>322.07999999999993</v>
      </c>
      <c r="K169" s="112">
        <f>SUM(J$3:J169)</f>
        <v>9503.9999999999964</v>
      </c>
      <c r="L169" s="112">
        <f>150*I169-150</f>
        <v>277.5</v>
      </c>
      <c r="M169" s="112">
        <f>SUBTOTAL(9,L$4:L169)</f>
        <v>17880</v>
      </c>
      <c r="N169" s="112"/>
    </row>
    <row r="170" spans="2:14" x14ac:dyDescent="0.25">
      <c r="B170" s="105">
        <v>707</v>
      </c>
      <c r="C170" s="105">
        <v>7.1</v>
      </c>
      <c r="D170" s="115"/>
      <c r="E170" s="105"/>
      <c r="F170" s="110">
        <v>1.44</v>
      </c>
      <c r="G170" s="121">
        <f>F170*F171</f>
        <v>2.0735999999999999</v>
      </c>
      <c r="H170" s="121"/>
      <c r="I170" s="115">
        <v>2.85</v>
      </c>
      <c r="J170" s="112">
        <f>300*G170-300</f>
        <v>322.07999999999993</v>
      </c>
      <c r="K170" s="112">
        <f>SUM(J$3:J170)</f>
        <v>9826.0799999999963</v>
      </c>
      <c r="L170" s="112">
        <f>150*I170-150</f>
        <v>277.5</v>
      </c>
      <c r="M170" s="112">
        <f>SUBTOTAL(9,L$4:L170)</f>
        <v>18157.5</v>
      </c>
      <c r="N170" s="112"/>
    </row>
    <row r="171" spans="2:14" x14ac:dyDescent="0.25">
      <c r="B171" s="103">
        <v>708</v>
      </c>
      <c r="C171" s="105">
        <v>5.9</v>
      </c>
      <c r="D171" s="115"/>
      <c r="E171" s="105"/>
      <c r="F171" s="110">
        <v>1.44</v>
      </c>
      <c r="G171" s="121"/>
      <c r="H171" s="121">
        <v>4.6100000000000003</v>
      </c>
      <c r="I171" s="129">
        <v>2.85</v>
      </c>
      <c r="J171" s="112">
        <f>300*G171-300</f>
        <v>-300</v>
      </c>
      <c r="K171" s="112">
        <f>SUM(J$3:J171)</f>
        <v>9526.0799999999963</v>
      </c>
      <c r="L171" s="112">
        <f>150*I171-150</f>
        <v>277.5</v>
      </c>
      <c r="M171" s="112">
        <f>SUBTOTAL(9,L$4:L171)</f>
        <v>18435</v>
      </c>
      <c r="N171" s="112"/>
    </row>
    <row r="172" spans="2:14" x14ac:dyDescent="0.25">
      <c r="B172" s="103">
        <v>709</v>
      </c>
      <c r="C172" s="104">
        <v>3.2</v>
      </c>
      <c r="D172" s="105"/>
      <c r="E172" s="105"/>
      <c r="F172" s="118"/>
      <c r="G172" s="121"/>
      <c r="H172" s="121"/>
      <c r="I172" s="112"/>
      <c r="J172" s="115"/>
      <c r="K172" s="112">
        <f>SUM(J$3:J172)</f>
        <v>9526.0799999999963</v>
      </c>
      <c r="L172" s="105"/>
      <c r="M172" s="105"/>
      <c r="N172" s="112"/>
    </row>
    <row r="173" spans="2:14" x14ac:dyDescent="0.25">
      <c r="B173" s="105">
        <v>710</v>
      </c>
      <c r="C173" s="105">
        <v>7.1</v>
      </c>
      <c r="D173" s="115"/>
      <c r="E173" s="105"/>
      <c r="F173" s="110">
        <v>1.44</v>
      </c>
      <c r="G173" s="121"/>
      <c r="H173" s="121"/>
      <c r="I173" s="112"/>
      <c r="J173" s="115"/>
      <c r="K173" s="112">
        <f>SUM(J$3:J173)</f>
        <v>9526.0799999999963</v>
      </c>
      <c r="L173" s="105"/>
      <c r="M173" s="105"/>
      <c r="N173" s="112"/>
    </row>
    <row r="174" spans="2:14" x14ac:dyDescent="0.25">
      <c r="B174" s="105">
        <v>711</v>
      </c>
      <c r="C174" s="105">
        <v>6.1</v>
      </c>
      <c r="D174" s="115"/>
      <c r="E174" s="105"/>
      <c r="F174" s="110">
        <v>1.44</v>
      </c>
      <c r="G174" s="121"/>
      <c r="H174" s="121">
        <v>4.6100000000000003</v>
      </c>
      <c r="I174" s="129">
        <v>2.85</v>
      </c>
      <c r="J174" s="112">
        <f>300*G174-300</f>
        <v>-300</v>
      </c>
      <c r="K174" s="112">
        <f>SUM(J$3:J174)</f>
        <v>9226.0799999999963</v>
      </c>
      <c r="L174" s="112">
        <f>150*I174-150</f>
        <v>277.5</v>
      </c>
      <c r="M174" s="112">
        <f>SUBTOTAL(9,L$4:L174)</f>
        <v>18712.5</v>
      </c>
      <c r="N174" s="112"/>
    </row>
    <row r="175" spans="2:14" ht="15.75" x14ac:dyDescent="0.25">
      <c r="B175" s="103">
        <v>712</v>
      </c>
      <c r="C175" s="104">
        <v>3.2</v>
      </c>
      <c r="D175" s="105"/>
      <c r="E175" s="105"/>
      <c r="F175" s="118"/>
      <c r="G175" s="121"/>
      <c r="H175" s="121"/>
      <c r="I175" s="112"/>
      <c r="J175" s="115"/>
      <c r="K175" s="112">
        <f>SUM(J$3:J175)</f>
        <v>9226.0799999999963</v>
      </c>
      <c r="L175" s="113"/>
      <c r="M175" s="105"/>
      <c r="N175" s="112"/>
    </row>
    <row r="176" spans="2:14" x14ac:dyDescent="0.25">
      <c r="B176" s="105">
        <v>713</v>
      </c>
      <c r="C176" s="105">
        <v>9</v>
      </c>
      <c r="D176" s="115"/>
      <c r="E176" s="105"/>
      <c r="F176" s="110">
        <v>1.44</v>
      </c>
      <c r="G176" s="121"/>
      <c r="H176" s="121"/>
      <c r="I176" s="112"/>
      <c r="J176" s="115"/>
      <c r="K176" s="112">
        <f>SUM(J$3:J176)</f>
        <v>9226.0799999999963</v>
      </c>
      <c r="L176" s="105"/>
      <c r="M176" s="105"/>
      <c r="N176" s="112"/>
    </row>
    <row r="177" spans="2:14" x14ac:dyDescent="0.25">
      <c r="B177" s="105">
        <v>714</v>
      </c>
      <c r="C177" s="105">
        <v>7.1</v>
      </c>
      <c r="D177" s="115"/>
      <c r="E177" s="105"/>
      <c r="F177" s="110">
        <v>1.44</v>
      </c>
      <c r="G177" s="121">
        <f>F177*F178</f>
        <v>2.0735999999999999</v>
      </c>
      <c r="H177" s="121"/>
      <c r="I177" s="115">
        <v>2.85</v>
      </c>
      <c r="J177" s="112">
        <f>300*G177-300</f>
        <v>322.07999999999993</v>
      </c>
      <c r="K177" s="112">
        <f>SUM(J$3:J177)</f>
        <v>9548.1599999999962</v>
      </c>
      <c r="L177" s="112">
        <f>150*I177-150</f>
        <v>277.5</v>
      </c>
      <c r="M177" s="112">
        <f>SUBTOTAL(9,L$4:L177)</f>
        <v>18990</v>
      </c>
      <c r="N177" s="112"/>
    </row>
    <row r="178" spans="2:14" x14ac:dyDescent="0.25">
      <c r="B178" s="105">
        <v>715</v>
      </c>
      <c r="C178" s="105">
        <v>7.1</v>
      </c>
      <c r="D178" s="115"/>
      <c r="E178" s="105"/>
      <c r="F178" s="110">
        <v>1.44</v>
      </c>
      <c r="G178" s="121"/>
      <c r="H178" s="121">
        <v>4.6100000000000003</v>
      </c>
      <c r="I178" s="129">
        <v>2.85</v>
      </c>
      <c r="J178" s="112">
        <f>300*G178-300</f>
        <v>-300</v>
      </c>
      <c r="K178" s="112">
        <f>SUM(J$3:J178)</f>
        <v>9248.1599999999962</v>
      </c>
      <c r="L178" s="112">
        <f>150*I178-150</f>
        <v>277.5</v>
      </c>
      <c r="M178" s="112">
        <f>SUBTOTAL(9,L$4:L178)</f>
        <v>19267.5</v>
      </c>
      <c r="N178" s="112"/>
    </row>
    <row r="179" spans="2:14" ht="15.75" x14ac:dyDescent="0.25">
      <c r="B179" s="103">
        <v>716</v>
      </c>
      <c r="C179" s="104">
        <v>3.2</v>
      </c>
      <c r="D179" s="105"/>
      <c r="E179" s="105"/>
      <c r="F179" s="118"/>
      <c r="G179" s="121"/>
      <c r="H179" s="121"/>
      <c r="I179" s="112"/>
      <c r="J179" s="115"/>
      <c r="K179" s="112">
        <f>SUM(J$3:J179)</f>
        <v>9248.1599999999962</v>
      </c>
      <c r="L179" s="113"/>
      <c r="M179" s="105"/>
      <c r="N179" s="112"/>
    </row>
    <row r="180" spans="2:14" ht="15.75" x14ac:dyDescent="0.25">
      <c r="B180" s="105">
        <v>717</v>
      </c>
      <c r="C180" s="105">
        <v>9</v>
      </c>
      <c r="D180" s="115"/>
      <c r="E180" s="105"/>
      <c r="F180" s="110">
        <v>1.44</v>
      </c>
      <c r="G180" s="121"/>
      <c r="H180" s="121"/>
      <c r="I180" s="112"/>
      <c r="J180" s="115"/>
      <c r="K180" s="112">
        <f>SUM(J$3:J180)</f>
        <v>9248.1599999999962</v>
      </c>
      <c r="L180" s="113"/>
      <c r="M180" s="113"/>
      <c r="N180" s="112"/>
    </row>
    <row r="181" spans="2:14" x14ac:dyDescent="0.25">
      <c r="B181" s="103">
        <v>718</v>
      </c>
      <c r="C181" s="104">
        <v>3.2</v>
      </c>
      <c r="D181" s="105"/>
      <c r="E181" s="105"/>
      <c r="F181" s="110"/>
      <c r="G181" s="121">
        <v>0</v>
      </c>
      <c r="H181" s="121"/>
      <c r="I181" s="112">
        <v>0</v>
      </c>
      <c r="J181" s="119"/>
      <c r="K181" s="112">
        <f>SUM(J$3:J181)</f>
        <v>9248.1599999999962</v>
      </c>
      <c r="L181" s="112">
        <f>150*I181-150</f>
        <v>-150</v>
      </c>
      <c r="M181" s="112">
        <f>SUBTOTAL(9,L$4:L181)</f>
        <v>19117.5</v>
      </c>
      <c r="N181" s="112"/>
    </row>
    <row r="182" spans="2:14" x14ac:dyDescent="0.25">
      <c r="B182" s="103">
        <v>719</v>
      </c>
      <c r="C182" s="104">
        <v>3.2</v>
      </c>
      <c r="D182" s="105"/>
      <c r="E182" s="105"/>
      <c r="F182" s="118"/>
      <c r="G182" s="121"/>
      <c r="H182" s="121"/>
      <c r="I182" s="112"/>
      <c r="J182" s="115"/>
      <c r="K182" s="112">
        <f>SUM(J$3:J182)</f>
        <v>9248.1599999999962</v>
      </c>
      <c r="L182" s="105"/>
      <c r="M182" s="105"/>
      <c r="N182" s="112"/>
    </row>
    <row r="183" spans="2:14" x14ac:dyDescent="0.25">
      <c r="B183" s="105">
        <v>720</v>
      </c>
      <c r="C183" s="105">
        <v>7.1</v>
      </c>
      <c r="D183" s="115"/>
      <c r="E183" s="105"/>
      <c r="F183" s="110">
        <v>1.44</v>
      </c>
      <c r="G183" s="121"/>
      <c r="H183" s="121"/>
      <c r="I183" s="112"/>
      <c r="J183" s="115"/>
      <c r="K183" s="112">
        <f>SUM(J$3:J183)</f>
        <v>9248.1599999999962</v>
      </c>
      <c r="L183" s="105"/>
      <c r="M183" s="105"/>
      <c r="N183" s="112"/>
    </row>
    <row r="184" spans="2:14" x14ac:dyDescent="0.25">
      <c r="B184" s="103">
        <v>721</v>
      </c>
      <c r="C184" s="105">
        <v>5.9</v>
      </c>
      <c r="D184" s="115"/>
      <c r="E184" s="105"/>
      <c r="F184" s="110">
        <v>1.44</v>
      </c>
      <c r="G184" s="121">
        <f t="shared" ref="G184:G191" si="9">F184*F185</f>
        <v>2.0735999999999999</v>
      </c>
      <c r="H184" s="121"/>
      <c r="I184" s="115">
        <v>2.85</v>
      </c>
      <c r="J184" s="112">
        <f t="shared" ref="J184:J192" si="10">300*G184-300</f>
        <v>322.07999999999993</v>
      </c>
      <c r="K184" s="112">
        <f>SUM(J$3:J184)</f>
        <v>9570.2399999999961</v>
      </c>
      <c r="L184" s="112">
        <f t="shared" ref="L184:L192" si="11">150*I184-150</f>
        <v>277.5</v>
      </c>
      <c r="M184" s="112">
        <f>SUBTOTAL(9,L$4:L184)</f>
        <v>19395</v>
      </c>
      <c r="N184" s="112"/>
    </row>
    <row r="185" spans="2:14" x14ac:dyDescent="0.25">
      <c r="B185" s="105">
        <v>722</v>
      </c>
      <c r="C185" s="105">
        <v>6.1</v>
      </c>
      <c r="D185" s="115"/>
      <c r="E185" s="105"/>
      <c r="F185" s="110">
        <v>1.44</v>
      </c>
      <c r="G185" s="121">
        <f t="shared" si="9"/>
        <v>2.0735999999999999</v>
      </c>
      <c r="H185" s="121"/>
      <c r="I185" s="115">
        <v>2.85</v>
      </c>
      <c r="J185" s="112">
        <f t="shared" si="10"/>
        <v>322.07999999999993</v>
      </c>
      <c r="K185" s="112">
        <f>SUM(J$3:J185)</f>
        <v>9892.3199999999961</v>
      </c>
      <c r="L185" s="112">
        <f t="shared" si="11"/>
        <v>277.5</v>
      </c>
      <c r="M185" s="112">
        <f>SUBTOTAL(9,L$4:L185)</f>
        <v>19672.5</v>
      </c>
      <c r="N185" s="112"/>
    </row>
    <row r="186" spans="2:14" x14ac:dyDescent="0.25">
      <c r="B186" s="105">
        <v>723</v>
      </c>
      <c r="C186" s="105">
        <v>6.1</v>
      </c>
      <c r="D186" s="115"/>
      <c r="E186" s="105"/>
      <c r="F186" s="110">
        <v>1.44</v>
      </c>
      <c r="G186" s="121">
        <f t="shared" si="9"/>
        <v>2.0735999999999999</v>
      </c>
      <c r="H186" s="121"/>
      <c r="I186" s="115">
        <v>2.85</v>
      </c>
      <c r="J186" s="112">
        <f t="shared" si="10"/>
        <v>322.07999999999993</v>
      </c>
      <c r="K186" s="112">
        <f>SUM(J$3:J186)</f>
        <v>10214.399999999996</v>
      </c>
      <c r="L186" s="112">
        <f t="shared" si="11"/>
        <v>277.5</v>
      </c>
      <c r="M186" s="112">
        <f>SUBTOTAL(9,L$4:L186)</f>
        <v>19950</v>
      </c>
      <c r="N186" s="112"/>
    </row>
    <row r="187" spans="2:14" x14ac:dyDescent="0.25">
      <c r="B187" s="105">
        <v>724</v>
      </c>
      <c r="C187" s="105">
        <v>6.1</v>
      </c>
      <c r="D187" s="115"/>
      <c r="E187" s="105"/>
      <c r="F187" s="110">
        <v>1.44</v>
      </c>
      <c r="G187" s="121">
        <f t="shared" si="9"/>
        <v>2.0735999999999999</v>
      </c>
      <c r="H187" s="121"/>
      <c r="I187" s="115">
        <v>2.85</v>
      </c>
      <c r="J187" s="112">
        <f t="shared" si="10"/>
        <v>322.07999999999993</v>
      </c>
      <c r="K187" s="112">
        <f>SUM(J$3:J187)</f>
        <v>10536.479999999996</v>
      </c>
      <c r="L187" s="112">
        <f t="shared" si="11"/>
        <v>277.5</v>
      </c>
      <c r="M187" s="112">
        <f>SUBTOTAL(9,L$4:L187)</f>
        <v>20227.5</v>
      </c>
      <c r="N187" s="112"/>
    </row>
    <row r="188" spans="2:14" x14ac:dyDescent="0.25">
      <c r="B188" s="105">
        <v>725</v>
      </c>
      <c r="C188" s="105">
        <v>9</v>
      </c>
      <c r="D188" s="115"/>
      <c r="E188" s="105"/>
      <c r="F188" s="110">
        <v>1.44</v>
      </c>
      <c r="G188" s="121">
        <f t="shared" si="9"/>
        <v>2.0735999999999999</v>
      </c>
      <c r="H188" s="121"/>
      <c r="I188" s="115">
        <v>2.85</v>
      </c>
      <c r="J188" s="112">
        <f t="shared" si="10"/>
        <v>322.07999999999993</v>
      </c>
      <c r="K188" s="112">
        <f>SUM(J$3:J188)</f>
        <v>10858.559999999996</v>
      </c>
      <c r="L188" s="112">
        <f t="shared" si="11"/>
        <v>277.5</v>
      </c>
      <c r="M188" s="112">
        <f>SUBTOTAL(9,L$4:L188)</f>
        <v>20505</v>
      </c>
      <c r="N188" s="112"/>
    </row>
    <row r="189" spans="2:14" x14ac:dyDescent="0.25">
      <c r="B189" s="103">
        <v>726</v>
      </c>
      <c r="C189" s="105">
        <v>5.9</v>
      </c>
      <c r="D189" s="115"/>
      <c r="E189" s="105"/>
      <c r="F189" s="110">
        <v>1.44</v>
      </c>
      <c r="G189" s="121">
        <f t="shared" si="9"/>
        <v>2.0735999999999999</v>
      </c>
      <c r="H189" s="121"/>
      <c r="I189" s="115">
        <v>2.85</v>
      </c>
      <c r="J189" s="112">
        <f t="shared" si="10"/>
        <v>322.07999999999993</v>
      </c>
      <c r="K189" s="112">
        <f>SUM(J$3:J189)</f>
        <v>11180.639999999996</v>
      </c>
      <c r="L189" s="112">
        <f t="shared" si="11"/>
        <v>277.5</v>
      </c>
      <c r="M189" s="112">
        <f>SUBTOTAL(9,L$4:L189)</f>
        <v>20782.5</v>
      </c>
      <c r="N189" s="112"/>
    </row>
    <row r="190" spans="2:14" x14ac:dyDescent="0.25">
      <c r="B190" s="105">
        <v>727</v>
      </c>
      <c r="C190" s="105">
        <v>7.1</v>
      </c>
      <c r="D190" s="115"/>
      <c r="E190" s="105"/>
      <c r="F190" s="110">
        <v>1.44</v>
      </c>
      <c r="G190" s="121">
        <f t="shared" si="9"/>
        <v>2.0735999999999999</v>
      </c>
      <c r="H190" s="121"/>
      <c r="I190" s="115">
        <v>2.85</v>
      </c>
      <c r="J190" s="112">
        <f t="shared" si="10"/>
        <v>322.07999999999993</v>
      </c>
      <c r="K190" s="112">
        <f>SUM(J$3:J190)</f>
        <v>11502.719999999996</v>
      </c>
      <c r="L190" s="112">
        <f t="shared" si="11"/>
        <v>277.5</v>
      </c>
      <c r="M190" s="112">
        <f>SUBTOTAL(9,L$4:L190)</f>
        <v>21060</v>
      </c>
      <c r="N190" s="112"/>
    </row>
    <row r="191" spans="2:14" x14ac:dyDescent="0.25">
      <c r="B191" s="105">
        <v>728</v>
      </c>
      <c r="C191" s="105">
        <v>9</v>
      </c>
      <c r="D191" s="115"/>
      <c r="E191" s="105"/>
      <c r="F191" s="110">
        <v>1.44</v>
      </c>
      <c r="G191" s="121">
        <f t="shared" si="9"/>
        <v>2.0735999999999999</v>
      </c>
      <c r="H191" s="121"/>
      <c r="I191" s="115">
        <v>2.85</v>
      </c>
      <c r="J191" s="112">
        <f t="shared" si="10"/>
        <v>322.07999999999993</v>
      </c>
      <c r="K191" s="112">
        <f>SUM(J$3:J191)</f>
        <v>11824.799999999996</v>
      </c>
      <c r="L191" s="112">
        <f t="shared" si="11"/>
        <v>277.5</v>
      </c>
      <c r="M191" s="112">
        <f>SUBTOTAL(9,L$4:L191)</f>
        <v>21337.5</v>
      </c>
      <c r="N191" s="112"/>
    </row>
    <row r="192" spans="2:14" x14ac:dyDescent="0.25">
      <c r="B192" s="105">
        <v>729</v>
      </c>
      <c r="C192" s="105">
        <v>9</v>
      </c>
      <c r="D192" s="115"/>
      <c r="E192" s="105"/>
      <c r="F192" s="110">
        <v>1.44</v>
      </c>
      <c r="G192" s="121"/>
      <c r="H192" s="121">
        <v>4.6100000000000003</v>
      </c>
      <c r="I192" s="129">
        <v>2.85</v>
      </c>
      <c r="J192" s="112">
        <f t="shared" si="10"/>
        <v>-300</v>
      </c>
      <c r="K192" s="112">
        <f>SUM(J$3:J192)</f>
        <v>11524.799999999996</v>
      </c>
      <c r="L192" s="112">
        <f t="shared" si="11"/>
        <v>277.5</v>
      </c>
      <c r="M192" s="112">
        <f>SUBTOTAL(9,L$4:L192)</f>
        <v>21615</v>
      </c>
      <c r="N192" s="112"/>
    </row>
    <row r="193" spans="2:14" ht="15.75" x14ac:dyDescent="0.25">
      <c r="B193" s="103">
        <v>730</v>
      </c>
      <c r="C193" s="104">
        <v>3.2</v>
      </c>
      <c r="D193" s="105"/>
      <c r="E193" s="105"/>
      <c r="F193" s="110"/>
      <c r="G193" s="121"/>
      <c r="H193" s="121"/>
      <c r="I193" s="112"/>
      <c r="J193" s="119"/>
      <c r="K193" s="112">
        <f>SUM(J$3:J193)</f>
        <v>11524.799999999996</v>
      </c>
      <c r="L193" s="113"/>
      <c r="M193" s="113"/>
      <c r="N193" s="112"/>
    </row>
    <row r="194" spans="2:14" x14ac:dyDescent="0.25">
      <c r="B194" s="103">
        <v>731</v>
      </c>
      <c r="C194" s="104">
        <v>3.2</v>
      </c>
      <c r="D194" s="105"/>
      <c r="E194" s="105"/>
      <c r="F194" s="118"/>
      <c r="G194" s="121"/>
      <c r="H194" s="121"/>
      <c r="I194" s="112"/>
      <c r="J194" s="115"/>
      <c r="K194" s="112">
        <f>SUM(J$3:J194)</f>
        <v>11524.799999999996</v>
      </c>
      <c r="L194" s="105"/>
      <c r="M194" s="105"/>
      <c r="N194" s="112"/>
    </row>
    <row r="195" spans="2:14" x14ac:dyDescent="0.25">
      <c r="B195" s="105">
        <v>732</v>
      </c>
      <c r="C195" s="105">
        <v>7.1</v>
      </c>
      <c r="D195" s="115"/>
      <c r="E195" s="105"/>
      <c r="F195" s="110">
        <v>1.44</v>
      </c>
      <c r="G195" s="121"/>
      <c r="H195" s="121"/>
      <c r="I195" s="112"/>
      <c r="J195" s="115"/>
      <c r="K195" s="112">
        <f>SUM(J$3:J195)</f>
        <v>11524.799999999996</v>
      </c>
      <c r="L195" s="105"/>
      <c r="M195" s="105"/>
      <c r="N195" s="112"/>
    </row>
    <row r="196" spans="2:14" x14ac:dyDescent="0.25">
      <c r="B196" s="103">
        <v>733</v>
      </c>
      <c r="C196" s="104">
        <v>3.2</v>
      </c>
      <c r="D196" s="105"/>
      <c r="E196" s="105"/>
      <c r="F196" s="110"/>
      <c r="G196" s="121">
        <v>0</v>
      </c>
      <c r="H196" s="121"/>
      <c r="I196" s="112">
        <v>0</v>
      </c>
      <c r="J196" s="119"/>
      <c r="K196" s="112">
        <f>SUM(J$3:J196)</f>
        <v>11524.799999999996</v>
      </c>
      <c r="L196" s="112">
        <f>150*I196-150</f>
        <v>-150</v>
      </c>
      <c r="M196" s="112">
        <f>SUBTOTAL(9,L$4:L196)</f>
        <v>21465</v>
      </c>
      <c r="N196" s="112"/>
    </row>
    <row r="197" spans="2:14" ht="15.75" x14ac:dyDescent="0.25">
      <c r="B197" s="103">
        <v>734</v>
      </c>
      <c r="C197" s="104">
        <v>3.2</v>
      </c>
      <c r="D197" s="105"/>
      <c r="E197" s="105"/>
      <c r="F197" s="110"/>
      <c r="G197" s="121"/>
      <c r="H197" s="121"/>
      <c r="I197" s="112"/>
      <c r="J197" s="119"/>
      <c r="K197" s="112">
        <f>SUM(J$3:J197)</f>
        <v>11524.799999999996</v>
      </c>
      <c r="L197" s="113"/>
      <c r="M197" s="113"/>
      <c r="N197" s="112"/>
    </row>
    <row r="198" spans="2:14" ht="15.75" x14ac:dyDescent="0.25">
      <c r="B198" s="103">
        <v>735</v>
      </c>
      <c r="C198" s="104">
        <v>3.2</v>
      </c>
      <c r="D198" s="105"/>
      <c r="E198" s="105"/>
      <c r="F198" s="110"/>
      <c r="G198" s="121"/>
      <c r="H198" s="121"/>
      <c r="I198" s="112"/>
      <c r="J198" s="119"/>
      <c r="K198" s="112">
        <f>SUM(J$3:J198)</f>
        <v>11524.799999999996</v>
      </c>
      <c r="L198" s="113"/>
      <c r="M198" s="113"/>
      <c r="N198" s="112"/>
    </row>
    <row r="199" spans="2:14" ht="15.75" x14ac:dyDescent="0.25">
      <c r="B199" s="103">
        <v>736</v>
      </c>
      <c r="C199" s="104">
        <v>3.2</v>
      </c>
      <c r="D199" s="105"/>
      <c r="E199" s="105"/>
      <c r="F199" s="110"/>
      <c r="G199" s="121"/>
      <c r="H199" s="121"/>
      <c r="I199" s="112"/>
      <c r="J199" s="119"/>
      <c r="K199" s="112">
        <f>SUM(J$3:J199)</f>
        <v>11524.799999999996</v>
      </c>
      <c r="L199" s="113"/>
      <c r="M199" s="113"/>
      <c r="N199" s="112"/>
    </row>
    <row r="200" spans="2:14" x14ac:dyDescent="0.25">
      <c r="B200" s="103">
        <v>737</v>
      </c>
      <c r="C200" s="104">
        <v>3.2</v>
      </c>
      <c r="D200" s="105"/>
      <c r="E200" s="105"/>
      <c r="F200" s="118"/>
      <c r="G200" s="121"/>
      <c r="H200" s="121"/>
      <c r="I200" s="112"/>
      <c r="J200" s="115"/>
      <c r="K200" s="112">
        <f>SUM(J$3:J200)</f>
        <v>11524.799999999996</v>
      </c>
      <c r="L200" s="105"/>
      <c r="M200" s="105"/>
      <c r="N200" s="112"/>
    </row>
    <row r="201" spans="2:14" x14ac:dyDescent="0.25">
      <c r="B201" s="105">
        <v>738</v>
      </c>
      <c r="C201" s="105">
        <v>6.1</v>
      </c>
      <c r="D201" s="115"/>
      <c r="E201" s="105"/>
      <c r="F201" s="110">
        <v>1.44</v>
      </c>
      <c r="G201" s="121"/>
      <c r="H201" s="121"/>
      <c r="I201" s="112"/>
      <c r="J201" s="115"/>
      <c r="K201" s="112">
        <f>SUM(J$3:J201)</f>
        <v>11524.799999999996</v>
      </c>
      <c r="L201" s="105"/>
      <c r="M201" s="105"/>
      <c r="N201" s="112"/>
    </row>
    <row r="202" spans="2:14" x14ac:dyDescent="0.25">
      <c r="B202" s="105">
        <v>739</v>
      </c>
      <c r="C202" s="105">
        <v>7.1</v>
      </c>
      <c r="D202" s="115"/>
      <c r="E202" s="105"/>
      <c r="F202" s="110">
        <v>1.44</v>
      </c>
      <c r="G202" s="121">
        <f>F202*F203</f>
        <v>2.0735999999999999</v>
      </c>
      <c r="H202" s="121"/>
      <c r="I202" s="115">
        <v>2.85</v>
      </c>
      <c r="J202" s="112">
        <f>300*G202-300</f>
        <v>322.07999999999993</v>
      </c>
      <c r="K202" s="112">
        <f>SUM(J$3:J202)</f>
        <v>11846.879999999996</v>
      </c>
      <c r="L202" s="112">
        <f>150*I202-150</f>
        <v>277.5</v>
      </c>
      <c r="M202" s="112">
        <f>SUBTOTAL(9,L$4:L202)</f>
        <v>21742.5</v>
      </c>
      <c r="N202" s="112"/>
    </row>
    <row r="203" spans="2:14" x14ac:dyDescent="0.25">
      <c r="B203" s="105">
        <v>740</v>
      </c>
      <c r="C203" s="105">
        <v>6.1</v>
      </c>
      <c r="D203" s="115"/>
      <c r="E203" s="105"/>
      <c r="F203" s="110">
        <v>1.44</v>
      </c>
      <c r="G203" s="121">
        <f>F203*F204</f>
        <v>2.0735999999999999</v>
      </c>
      <c r="H203" s="121"/>
      <c r="I203" s="115">
        <v>2.85</v>
      </c>
      <c r="J203" s="112">
        <f>300*G203-300</f>
        <v>322.07999999999993</v>
      </c>
      <c r="K203" s="112">
        <f>SUM(J$3:J203)</f>
        <v>12168.959999999995</v>
      </c>
      <c r="L203" s="112">
        <f>150*I203-150</f>
        <v>277.5</v>
      </c>
      <c r="M203" s="112">
        <f>SUBTOTAL(9,L$4:L203)</f>
        <v>22020</v>
      </c>
      <c r="N203" s="112"/>
    </row>
    <row r="204" spans="2:14" x14ac:dyDescent="0.25">
      <c r="B204" s="105">
        <v>741</v>
      </c>
      <c r="C204" s="105">
        <v>6.1</v>
      </c>
      <c r="D204" s="115"/>
      <c r="E204" s="105"/>
      <c r="F204" s="110">
        <v>1.44</v>
      </c>
      <c r="G204" s="121">
        <f>F204*F205</f>
        <v>2.0735999999999999</v>
      </c>
      <c r="H204" s="121"/>
      <c r="I204" s="115">
        <v>2.85</v>
      </c>
      <c r="J204" s="112">
        <f>300*G204-300</f>
        <v>322.07999999999993</v>
      </c>
      <c r="K204" s="112">
        <f>SUM(J$3:J204)</f>
        <v>12491.039999999995</v>
      </c>
      <c r="L204" s="112">
        <f>150*I204-150</f>
        <v>277.5</v>
      </c>
      <c r="M204" s="112">
        <f>SUBTOTAL(9,L$4:L204)</f>
        <v>22297.5</v>
      </c>
      <c r="N204" s="112"/>
    </row>
    <row r="205" spans="2:14" x14ac:dyDescent="0.25">
      <c r="B205" s="105">
        <v>742</v>
      </c>
      <c r="C205" s="105">
        <v>7.1</v>
      </c>
      <c r="D205" s="115"/>
      <c r="E205" s="105"/>
      <c r="F205" s="110">
        <v>1.44</v>
      </c>
      <c r="G205" s="121"/>
      <c r="H205" s="121">
        <v>4.6100000000000003</v>
      </c>
      <c r="I205" s="129">
        <v>2.85</v>
      </c>
      <c r="J205" s="112">
        <f>300*G205-300</f>
        <v>-300</v>
      </c>
      <c r="K205" s="112">
        <f>SUM(J$3:J205)</f>
        <v>12191.039999999995</v>
      </c>
      <c r="L205" s="112">
        <f>150*I205-150</f>
        <v>277.5</v>
      </c>
      <c r="M205" s="112">
        <f>SUBTOTAL(9,L$4:L205)</f>
        <v>22575</v>
      </c>
      <c r="N205" s="112"/>
    </row>
    <row r="206" spans="2:14" ht="15.75" x14ac:dyDescent="0.25">
      <c r="B206" s="103">
        <v>743</v>
      </c>
      <c r="C206" s="104">
        <v>3.2</v>
      </c>
      <c r="D206" s="105"/>
      <c r="E206" s="105"/>
      <c r="F206" s="118"/>
      <c r="G206" s="121"/>
      <c r="H206" s="121"/>
      <c r="I206" s="112"/>
      <c r="J206" s="115"/>
      <c r="K206" s="115"/>
      <c r="L206" s="113"/>
      <c r="M206" s="105"/>
      <c r="N206" s="112"/>
    </row>
    <row r="207" spans="2:14" ht="15.75" x14ac:dyDescent="0.25">
      <c r="B207" s="105">
        <v>744</v>
      </c>
      <c r="C207" s="105">
        <v>9</v>
      </c>
      <c r="D207" s="115"/>
      <c r="E207" s="105"/>
      <c r="F207" s="120">
        <v>1.44</v>
      </c>
      <c r="G207" s="121"/>
      <c r="H207" s="121"/>
      <c r="I207" s="112"/>
      <c r="J207" s="115"/>
      <c r="K207" s="112"/>
      <c r="L207" s="113"/>
      <c r="M207" s="113"/>
      <c r="N207" s="112"/>
    </row>
    <row r="208" spans="2:14" x14ac:dyDescent="0.25">
      <c r="B208" s="103">
        <v>745</v>
      </c>
      <c r="C208" s="104">
        <v>3.2</v>
      </c>
      <c r="D208" s="105"/>
      <c r="E208" s="105"/>
      <c r="F208" s="118"/>
      <c r="G208" s="121">
        <v>0</v>
      </c>
      <c r="H208" s="121"/>
      <c r="I208" s="112">
        <v>0</v>
      </c>
      <c r="J208" s="112"/>
      <c r="K208" s="112"/>
      <c r="L208" s="112">
        <f>150*I208-150</f>
        <v>-150</v>
      </c>
      <c r="M208" s="112">
        <f>SUBTOTAL(9,L$4:L208)</f>
        <v>22425</v>
      </c>
      <c r="N208" s="112"/>
    </row>
  </sheetData>
  <autoFilter ref="B2:N208" xr:uid="{00000000-0009-0000-0000-000001000000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K168"/>
  <sheetViews>
    <sheetView workbookViewId="0">
      <pane ySplit="1" topLeftCell="A98" activePane="bottomLeft" state="frozen"/>
      <selection pane="bottomLeft" activeCell="B163" sqref="B2:C163"/>
    </sheetView>
  </sheetViews>
  <sheetFormatPr defaultRowHeight="15" x14ac:dyDescent="0.25"/>
  <cols>
    <col min="2" max="2" width="4" bestFit="1" customWidth="1"/>
    <col min="4" max="4" width="2" bestFit="1" customWidth="1"/>
    <col min="5" max="6" width="6.5703125" bestFit="1" customWidth="1"/>
    <col min="7" max="7" width="5" bestFit="1" customWidth="1"/>
    <col min="8" max="8" width="11" style="93" bestFit="1" customWidth="1"/>
    <col min="9" max="9" width="9.5703125" style="93" customWidth="1"/>
    <col min="10" max="10" width="11" bestFit="1" customWidth="1"/>
  </cols>
  <sheetData>
    <row r="1" spans="2:11" x14ac:dyDescent="0.25">
      <c r="B1">
        <f>COUNT(B2:B385)</f>
        <v>162</v>
      </c>
      <c r="J1" s="91">
        <f>SUM(J2:J336)</f>
        <v>-1828</v>
      </c>
    </row>
    <row r="2" spans="2:11" x14ac:dyDescent="0.25">
      <c r="B2">
        <v>700</v>
      </c>
      <c r="C2" s="88">
        <v>9.1</v>
      </c>
      <c r="E2" s="95">
        <v>4.5199999999999996</v>
      </c>
      <c r="F2" s="95"/>
      <c r="G2">
        <v>1.88</v>
      </c>
      <c r="H2" s="100" t="b">
        <f>C2=C3</f>
        <v>0</v>
      </c>
      <c r="J2" s="82">
        <f>100*I2-100</f>
        <v>-100</v>
      </c>
      <c r="K2" s="82">
        <f>SUM(J$2:J2)</f>
        <v>-100</v>
      </c>
    </row>
    <row r="3" spans="2:11" x14ac:dyDescent="0.25">
      <c r="B3">
        <f>B2+1</f>
        <v>701</v>
      </c>
      <c r="C3" s="88">
        <v>9</v>
      </c>
      <c r="E3" s="95">
        <v>4.5199999999999996</v>
      </c>
      <c r="F3" s="95"/>
      <c r="G3">
        <v>1.88</v>
      </c>
      <c r="H3" s="100" t="b">
        <f>C3=C4</f>
        <v>0</v>
      </c>
      <c r="I3" s="93">
        <v>1.88</v>
      </c>
      <c r="J3" s="82">
        <f t="shared" ref="J3:J66" si="0">100*I3-100</f>
        <v>88</v>
      </c>
      <c r="K3" s="82">
        <f>SUM(J$2:J3)</f>
        <v>-12</v>
      </c>
    </row>
    <row r="4" spans="2:11" x14ac:dyDescent="0.25">
      <c r="B4">
        <f t="shared" ref="B4:B69" si="1">B3+1</f>
        <v>702</v>
      </c>
      <c r="C4" s="88">
        <v>6.1</v>
      </c>
      <c r="E4" s="95"/>
      <c r="F4" s="95">
        <v>3.2</v>
      </c>
      <c r="G4">
        <v>1.88</v>
      </c>
      <c r="H4" s="100" t="b">
        <f>C4=C5</f>
        <v>0</v>
      </c>
      <c r="I4" s="93">
        <v>1.88</v>
      </c>
      <c r="J4" s="82">
        <f t="shared" si="0"/>
        <v>88</v>
      </c>
      <c r="K4" s="82">
        <f>SUM(J$2:J4)</f>
        <v>76</v>
      </c>
    </row>
    <row r="5" spans="2:11" x14ac:dyDescent="0.25">
      <c r="B5" s="94">
        <f t="shared" si="1"/>
        <v>703</v>
      </c>
      <c r="C5" s="96">
        <v>3.2</v>
      </c>
      <c r="E5" s="95"/>
      <c r="F5" s="95"/>
      <c r="H5" s="100" t="b">
        <f>C5=C6</f>
        <v>0</v>
      </c>
      <c r="I5" s="91">
        <v>1</v>
      </c>
      <c r="J5" s="82">
        <f t="shared" si="0"/>
        <v>0</v>
      </c>
      <c r="K5" s="82">
        <f>SUM(J$2:J5)</f>
        <v>76</v>
      </c>
    </row>
    <row r="6" spans="2:11" x14ac:dyDescent="0.25">
      <c r="B6">
        <f t="shared" si="1"/>
        <v>704</v>
      </c>
      <c r="C6" s="88">
        <v>9.1</v>
      </c>
      <c r="E6" s="95">
        <v>4.5199999999999996</v>
      </c>
      <c r="F6" s="95"/>
      <c r="G6">
        <v>1.88</v>
      </c>
      <c r="H6" s="101" t="b">
        <f>C6=C7</f>
        <v>0</v>
      </c>
      <c r="J6" s="82">
        <f t="shared" si="0"/>
        <v>-100</v>
      </c>
      <c r="K6" s="82">
        <f>SUM(J$2:J6)</f>
        <v>-24</v>
      </c>
    </row>
    <row r="7" spans="2:11" x14ac:dyDescent="0.25">
      <c r="B7" s="94">
        <f t="shared" si="1"/>
        <v>705</v>
      </c>
      <c r="C7" s="96">
        <v>5.9</v>
      </c>
      <c r="E7" s="95"/>
      <c r="F7" s="95"/>
      <c r="H7" s="101" t="b">
        <f t="shared" ref="H7:H70" si="2">C7=C8</f>
        <v>0</v>
      </c>
      <c r="I7" s="91">
        <v>2</v>
      </c>
      <c r="J7" s="82">
        <f t="shared" si="0"/>
        <v>100</v>
      </c>
      <c r="K7" s="82">
        <f>SUM(J$2:J7)</f>
        <v>76</v>
      </c>
    </row>
    <row r="8" spans="2:11" x14ac:dyDescent="0.25">
      <c r="B8">
        <f t="shared" si="1"/>
        <v>706</v>
      </c>
      <c r="C8" s="88">
        <v>6.1</v>
      </c>
      <c r="E8" s="95"/>
      <c r="F8" s="95">
        <v>3.2</v>
      </c>
      <c r="G8">
        <v>1.88</v>
      </c>
      <c r="H8" s="101" t="b">
        <f t="shared" si="2"/>
        <v>0</v>
      </c>
      <c r="J8" s="82">
        <f t="shared" si="0"/>
        <v>-100</v>
      </c>
      <c r="K8" s="82">
        <f>SUM(J$2:J8)</f>
        <v>-24</v>
      </c>
    </row>
    <row r="9" spans="2:11" x14ac:dyDescent="0.25">
      <c r="B9">
        <f t="shared" si="1"/>
        <v>707</v>
      </c>
      <c r="C9" s="88">
        <v>9</v>
      </c>
      <c r="E9" s="95">
        <v>4.5199999999999996</v>
      </c>
      <c r="F9" s="95"/>
      <c r="G9">
        <v>1.88</v>
      </c>
      <c r="H9" s="101" t="b">
        <f t="shared" si="2"/>
        <v>0</v>
      </c>
      <c r="I9" s="93">
        <v>1.88</v>
      </c>
      <c r="J9" s="82">
        <f t="shared" si="0"/>
        <v>88</v>
      </c>
      <c r="K9" s="82">
        <f>SUM(J$2:J9)</f>
        <v>64</v>
      </c>
    </row>
    <row r="10" spans="2:11" x14ac:dyDescent="0.25">
      <c r="B10">
        <f t="shared" si="1"/>
        <v>708</v>
      </c>
      <c r="C10" s="88">
        <v>9.1</v>
      </c>
      <c r="E10" s="95">
        <v>4.5199999999999996</v>
      </c>
      <c r="F10" s="95"/>
      <c r="G10">
        <v>1.88</v>
      </c>
      <c r="H10" s="101" t="b">
        <f t="shared" si="2"/>
        <v>0</v>
      </c>
      <c r="I10" s="93">
        <v>1.88</v>
      </c>
      <c r="J10" s="82">
        <f t="shared" si="0"/>
        <v>88</v>
      </c>
      <c r="K10" s="82">
        <f>SUM(J$2:J10)</f>
        <v>152</v>
      </c>
    </row>
    <row r="11" spans="2:11" x14ac:dyDescent="0.25">
      <c r="B11">
        <f t="shared" si="1"/>
        <v>709</v>
      </c>
      <c r="C11" s="88">
        <v>7.1</v>
      </c>
      <c r="E11" s="95"/>
      <c r="F11" s="95">
        <v>3.2</v>
      </c>
      <c r="G11">
        <v>1.88</v>
      </c>
      <c r="H11" s="101" t="b">
        <f t="shared" si="2"/>
        <v>0</v>
      </c>
      <c r="I11" s="99">
        <v>1.88</v>
      </c>
      <c r="J11" s="82">
        <f t="shared" si="0"/>
        <v>88</v>
      </c>
      <c r="K11" s="82">
        <f>SUM(J$2:J11)</f>
        <v>240</v>
      </c>
    </row>
    <row r="12" spans="2:11" x14ac:dyDescent="0.25">
      <c r="B12" s="94">
        <f t="shared" si="1"/>
        <v>710</v>
      </c>
      <c r="C12" s="96">
        <v>3.2</v>
      </c>
      <c r="E12" s="95"/>
      <c r="F12" s="95"/>
      <c r="H12" s="101" t="b">
        <f>C12=C13</f>
        <v>1</v>
      </c>
      <c r="I12" s="91"/>
      <c r="J12" s="82">
        <f t="shared" si="0"/>
        <v>-100</v>
      </c>
      <c r="K12" s="82">
        <f>SUM(J$2:J12)</f>
        <v>140</v>
      </c>
    </row>
    <row r="13" spans="2:11" x14ac:dyDescent="0.25">
      <c r="B13" s="94">
        <f t="shared" si="1"/>
        <v>711</v>
      </c>
      <c r="C13" s="96">
        <v>3.2</v>
      </c>
      <c r="E13" s="95"/>
      <c r="F13" s="95"/>
      <c r="H13" s="101" t="b">
        <f t="shared" si="2"/>
        <v>0</v>
      </c>
      <c r="J13" s="82">
        <f t="shared" si="0"/>
        <v>-100</v>
      </c>
      <c r="K13" s="82">
        <f>SUM(J$2:J13)</f>
        <v>40</v>
      </c>
    </row>
    <row r="14" spans="2:11" x14ac:dyDescent="0.25">
      <c r="B14">
        <f t="shared" si="1"/>
        <v>712</v>
      </c>
      <c r="C14" s="88">
        <v>7.1</v>
      </c>
      <c r="E14" s="95"/>
      <c r="F14" s="95">
        <v>3.2</v>
      </c>
      <c r="G14">
        <v>1.88</v>
      </c>
      <c r="H14" s="101" t="b">
        <f t="shared" si="2"/>
        <v>0</v>
      </c>
      <c r="J14" s="82">
        <f t="shared" si="0"/>
        <v>-100</v>
      </c>
      <c r="K14" s="82">
        <f>SUM(J$2:J14)</f>
        <v>-60</v>
      </c>
    </row>
    <row r="15" spans="2:11" x14ac:dyDescent="0.25">
      <c r="B15" s="94">
        <f t="shared" si="1"/>
        <v>713</v>
      </c>
      <c r="C15" s="96">
        <v>5.9</v>
      </c>
      <c r="E15" s="95"/>
      <c r="F15" s="95"/>
      <c r="H15" s="101" t="b">
        <f t="shared" si="2"/>
        <v>0</v>
      </c>
      <c r="I15" s="91"/>
      <c r="J15" s="82">
        <f t="shared" si="0"/>
        <v>-100</v>
      </c>
      <c r="K15" s="82">
        <f>SUM(J$2:J15)</f>
        <v>-160</v>
      </c>
    </row>
    <row r="16" spans="2:11" x14ac:dyDescent="0.25">
      <c r="B16">
        <f t="shared" si="1"/>
        <v>714</v>
      </c>
      <c r="C16" s="88">
        <v>9.1</v>
      </c>
      <c r="E16" s="95">
        <v>4.5199999999999996</v>
      </c>
      <c r="F16" s="95"/>
      <c r="G16">
        <v>1.88</v>
      </c>
      <c r="H16" s="101" t="b">
        <f t="shared" si="2"/>
        <v>0</v>
      </c>
      <c r="J16" s="82">
        <f t="shared" si="0"/>
        <v>-100</v>
      </c>
      <c r="K16" s="82">
        <f>SUM(J$2:J16)</f>
        <v>-260</v>
      </c>
    </row>
    <row r="17" spans="2:11" x14ac:dyDescent="0.25">
      <c r="B17" s="94">
        <f t="shared" si="1"/>
        <v>715</v>
      </c>
      <c r="C17" s="96">
        <v>5.9</v>
      </c>
      <c r="E17" s="95"/>
      <c r="F17" s="95"/>
      <c r="H17" s="101" t="b">
        <f t="shared" si="2"/>
        <v>0</v>
      </c>
      <c r="I17" s="91"/>
      <c r="J17" s="82">
        <f t="shared" si="0"/>
        <v>-100</v>
      </c>
      <c r="K17" s="82">
        <f>SUM(J$2:J17)</f>
        <v>-360</v>
      </c>
    </row>
    <row r="18" spans="2:11" x14ac:dyDescent="0.25">
      <c r="B18">
        <f t="shared" si="1"/>
        <v>716</v>
      </c>
      <c r="C18" s="88">
        <v>6.1</v>
      </c>
      <c r="E18" s="95"/>
      <c r="F18" s="95">
        <v>3.2</v>
      </c>
      <c r="G18">
        <v>1.88</v>
      </c>
      <c r="H18" s="101" t="b">
        <f t="shared" si="2"/>
        <v>1</v>
      </c>
      <c r="J18" s="82">
        <f t="shared" si="0"/>
        <v>-100</v>
      </c>
      <c r="K18" s="82">
        <f>SUM(J$2:J18)</f>
        <v>-460</v>
      </c>
    </row>
    <row r="19" spans="2:11" x14ac:dyDescent="0.25">
      <c r="B19">
        <f t="shared" si="1"/>
        <v>717</v>
      </c>
      <c r="C19" s="88">
        <v>6.1</v>
      </c>
      <c r="E19" s="95"/>
      <c r="F19" s="95">
        <v>3.2</v>
      </c>
      <c r="G19">
        <v>1.88</v>
      </c>
      <c r="H19" s="101" t="b">
        <f t="shared" si="2"/>
        <v>0</v>
      </c>
      <c r="I19" s="93">
        <v>1.88</v>
      </c>
      <c r="J19" s="82">
        <f t="shared" si="0"/>
        <v>88</v>
      </c>
      <c r="K19" s="82">
        <f>SUM(J$2:J19)</f>
        <v>-372</v>
      </c>
    </row>
    <row r="20" spans="2:11" x14ac:dyDescent="0.25">
      <c r="B20">
        <f t="shared" si="1"/>
        <v>718</v>
      </c>
      <c r="C20" s="88">
        <v>7.1</v>
      </c>
      <c r="E20" s="95"/>
      <c r="F20" s="95">
        <v>3.2</v>
      </c>
      <c r="G20">
        <v>1.88</v>
      </c>
      <c r="H20" s="101" t="b">
        <f t="shared" si="2"/>
        <v>0</v>
      </c>
      <c r="I20" s="93">
        <v>1.88</v>
      </c>
      <c r="J20" s="82">
        <f t="shared" si="0"/>
        <v>88</v>
      </c>
      <c r="K20" s="82">
        <f>SUM(J$2:J20)</f>
        <v>-284</v>
      </c>
    </row>
    <row r="21" spans="2:11" x14ac:dyDescent="0.25">
      <c r="B21">
        <f>B20+1</f>
        <v>719</v>
      </c>
      <c r="C21" s="88">
        <v>9</v>
      </c>
      <c r="E21" s="95">
        <v>4.5199999999999996</v>
      </c>
      <c r="F21" s="95"/>
      <c r="G21">
        <v>1.88</v>
      </c>
      <c r="H21" s="101" t="b">
        <f t="shared" si="2"/>
        <v>0</v>
      </c>
      <c r="I21" s="93">
        <v>1.88</v>
      </c>
      <c r="J21" s="82">
        <f t="shared" si="0"/>
        <v>88</v>
      </c>
      <c r="K21" s="82">
        <f>SUM(J$2:J21)</f>
        <v>-196</v>
      </c>
    </row>
    <row r="22" spans="2:11" x14ac:dyDescent="0.25">
      <c r="B22" s="85">
        <f t="shared" si="1"/>
        <v>720</v>
      </c>
      <c r="C22" s="88">
        <v>6.1</v>
      </c>
      <c r="E22" s="95"/>
      <c r="F22" s="95">
        <v>3.2</v>
      </c>
      <c r="G22">
        <v>1.88</v>
      </c>
      <c r="H22" s="101" t="b">
        <f t="shared" si="2"/>
        <v>0</v>
      </c>
      <c r="I22" s="93">
        <v>1.88</v>
      </c>
      <c r="J22" s="82">
        <f t="shared" si="0"/>
        <v>88</v>
      </c>
      <c r="K22" s="82">
        <f>SUM(J$2:J22)</f>
        <v>-108</v>
      </c>
    </row>
    <row r="23" spans="2:11" x14ac:dyDescent="0.25">
      <c r="B23" s="94">
        <f t="shared" si="1"/>
        <v>721</v>
      </c>
      <c r="C23" s="96">
        <v>3.2</v>
      </c>
      <c r="E23" s="95"/>
      <c r="F23" s="95"/>
      <c r="H23" s="101" t="b">
        <f t="shared" si="2"/>
        <v>0</v>
      </c>
      <c r="I23" s="91">
        <v>1</v>
      </c>
      <c r="J23" s="82">
        <f t="shared" si="0"/>
        <v>0</v>
      </c>
      <c r="K23" s="82">
        <f>SUM(J$2:J23)</f>
        <v>-108</v>
      </c>
    </row>
    <row r="24" spans="2:11" x14ac:dyDescent="0.25">
      <c r="B24" s="94">
        <f t="shared" si="1"/>
        <v>722</v>
      </c>
      <c r="C24" s="96">
        <v>5.9</v>
      </c>
      <c r="E24" s="95"/>
      <c r="F24" s="95"/>
      <c r="H24" s="101" t="b">
        <f t="shared" si="2"/>
        <v>0</v>
      </c>
      <c r="J24" s="82">
        <f t="shared" si="0"/>
        <v>-100</v>
      </c>
      <c r="K24" s="82">
        <f>SUM(J$2:J24)</f>
        <v>-208</v>
      </c>
    </row>
    <row r="25" spans="2:11" x14ac:dyDescent="0.25">
      <c r="B25">
        <f t="shared" si="1"/>
        <v>723</v>
      </c>
      <c r="C25" s="88">
        <v>9</v>
      </c>
      <c r="E25" s="95">
        <v>4.5199999999999996</v>
      </c>
      <c r="F25" s="95"/>
      <c r="G25">
        <v>1.88</v>
      </c>
      <c r="H25" s="101" t="b">
        <f t="shared" si="2"/>
        <v>0</v>
      </c>
      <c r="J25" s="82">
        <f t="shared" si="0"/>
        <v>-100</v>
      </c>
      <c r="K25" s="82">
        <f>SUM(J$2:J25)</f>
        <v>-308</v>
      </c>
    </row>
    <row r="26" spans="2:11" x14ac:dyDescent="0.25">
      <c r="B26" s="94">
        <f t="shared" si="1"/>
        <v>724</v>
      </c>
      <c r="C26" s="96">
        <v>3.2</v>
      </c>
      <c r="E26" s="95"/>
      <c r="F26" s="95"/>
      <c r="H26" s="101" t="b">
        <f t="shared" si="2"/>
        <v>0</v>
      </c>
      <c r="I26" s="91">
        <v>2</v>
      </c>
      <c r="J26" s="82">
        <f t="shared" si="0"/>
        <v>100</v>
      </c>
      <c r="K26" s="82">
        <f>SUM(J$2:J26)</f>
        <v>-208</v>
      </c>
    </row>
    <row r="27" spans="2:11" x14ac:dyDescent="0.25">
      <c r="B27">
        <f t="shared" si="1"/>
        <v>725</v>
      </c>
      <c r="C27" s="88">
        <v>9.1</v>
      </c>
      <c r="E27" s="95">
        <v>4.5199999999999996</v>
      </c>
      <c r="F27" s="95"/>
      <c r="G27">
        <v>1.88</v>
      </c>
      <c r="H27" s="101" t="b">
        <f t="shared" si="2"/>
        <v>0</v>
      </c>
      <c r="J27" s="82">
        <f t="shared" si="0"/>
        <v>-100</v>
      </c>
      <c r="K27" s="82">
        <f>SUM(J$2:J27)</f>
        <v>-308</v>
      </c>
    </row>
    <row r="28" spans="2:11" x14ac:dyDescent="0.25">
      <c r="B28">
        <f t="shared" si="1"/>
        <v>726</v>
      </c>
      <c r="C28" s="88">
        <v>6.1</v>
      </c>
      <c r="E28" s="95"/>
      <c r="F28" s="95">
        <v>3.2</v>
      </c>
      <c r="G28">
        <v>1.88</v>
      </c>
      <c r="H28" s="101" t="b">
        <f>C28=C29</f>
        <v>0</v>
      </c>
      <c r="I28" s="99">
        <v>1.88</v>
      </c>
      <c r="J28" s="82">
        <f t="shared" si="0"/>
        <v>88</v>
      </c>
      <c r="K28" s="82">
        <f>SUM(J$2:J28)</f>
        <v>-220</v>
      </c>
    </row>
    <row r="29" spans="2:11" x14ac:dyDescent="0.25">
      <c r="B29" s="94">
        <f t="shared" si="1"/>
        <v>727</v>
      </c>
      <c r="C29" s="96"/>
      <c r="E29" s="95"/>
      <c r="F29" s="95"/>
      <c r="H29" s="101" t="b">
        <f t="shared" si="2"/>
        <v>0</v>
      </c>
      <c r="I29" s="91">
        <v>1</v>
      </c>
      <c r="J29" s="82">
        <f t="shared" si="0"/>
        <v>0</v>
      </c>
      <c r="K29" s="82">
        <f>SUM(J$2:J29)</f>
        <v>-220</v>
      </c>
    </row>
    <row r="30" spans="2:11" x14ac:dyDescent="0.25">
      <c r="B30">
        <f t="shared" si="1"/>
        <v>728</v>
      </c>
      <c r="C30" s="88">
        <v>7.1</v>
      </c>
      <c r="E30" s="95"/>
      <c r="F30" s="95">
        <v>3.2</v>
      </c>
      <c r="G30">
        <v>1.88</v>
      </c>
      <c r="H30" s="101" t="b">
        <f t="shared" si="2"/>
        <v>0</v>
      </c>
      <c r="J30" s="82">
        <f t="shared" si="0"/>
        <v>-100</v>
      </c>
      <c r="K30" s="82">
        <f>SUM(J$2:J30)</f>
        <v>-320</v>
      </c>
    </row>
    <row r="31" spans="2:11" x14ac:dyDescent="0.25">
      <c r="B31" s="94">
        <f t="shared" si="1"/>
        <v>729</v>
      </c>
      <c r="C31" s="96">
        <v>5.9</v>
      </c>
      <c r="E31" s="95"/>
      <c r="F31" s="95"/>
      <c r="H31" s="101" t="b">
        <f t="shared" si="2"/>
        <v>0</v>
      </c>
      <c r="I31" s="91">
        <v>2</v>
      </c>
      <c r="J31" s="82">
        <f t="shared" si="0"/>
        <v>100</v>
      </c>
      <c r="K31" s="82">
        <f>SUM(J$2:J31)</f>
        <v>-220</v>
      </c>
    </row>
    <row r="32" spans="2:11" x14ac:dyDescent="0.25">
      <c r="B32" s="94">
        <f t="shared" si="1"/>
        <v>730</v>
      </c>
      <c r="C32" s="96">
        <v>3.2</v>
      </c>
      <c r="E32" s="95"/>
      <c r="F32" s="95"/>
      <c r="H32" s="101" t="b">
        <f t="shared" si="2"/>
        <v>0</v>
      </c>
      <c r="J32" s="82">
        <f t="shared" si="0"/>
        <v>-100</v>
      </c>
      <c r="K32" s="82">
        <f>SUM(J$2:J32)</f>
        <v>-320</v>
      </c>
    </row>
    <row r="33" spans="2:11" x14ac:dyDescent="0.25">
      <c r="B33">
        <f t="shared" si="1"/>
        <v>731</v>
      </c>
      <c r="C33" s="88">
        <v>9</v>
      </c>
      <c r="E33" s="95">
        <v>4.5199999999999996</v>
      </c>
      <c r="F33" s="95"/>
      <c r="G33">
        <v>1.88</v>
      </c>
      <c r="H33" s="101" t="b">
        <f t="shared" si="2"/>
        <v>1</v>
      </c>
      <c r="J33" s="82">
        <f t="shared" si="0"/>
        <v>-100</v>
      </c>
      <c r="K33" s="82">
        <f>SUM(J$2:J33)</f>
        <v>-420</v>
      </c>
    </row>
    <row r="34" spans="2:11" x14ac:dyDescent="0.25">
      <c r="B34">
        <f t="shared" si="1"/>
        <v>732</v>
      </c>
      <c r="C34" s="88">
        <v>9</v>
      </c>
      <c r="E34" s="95">
        <v>4.5199999999999996</v>
      </c>
      <c r="F34" s="95"/>
      <c r="G34">
        <v>1.88</v>
      </c>
      <c r="H34" s="101" t="b">
        <f t="shared" si="2"/>
        <v>0</v>
      </c>
      <c r="I34" s="93">
        <v>1.88</v>
      </c>
      <c r="J34" s="82">
        <f t="shared" si="0"/>
        <v>88</v>
      </c>
      <c r="K34" s="82">
        <f>SUM(J$2:J34)</f>
        <v>-332</v>
      </c>
    </row>
    <row r="35" spans="2:11" x14ac:dyDescent="0.25">
      <c r="B35">
        <f t="shared" si="1"/>
        <v>733</v>
      </c>
      <c r="C35" s="88">
        <v>7.1</v>
      </c>
      <c r="E35" s="95"/>
      <c r="F35" s="95">
        <v>3.2</v>
      </c>
      <c r="G35">
        <v>1.88</v>
      </c>
      <c r="H35" s="101" t="b">
        <f t="shared" si="2"/>
        <v>0</v>
      </c>
      <c r="I35" s="93">
        <v>1.88</v>
      </c>
      <c r="J35" s="82">
        <f t="shared" si="0"/>
        <v>88</v>
      </c>
      <c r="K35" s="82">
        <f>SUM(J$2:J35)</f>
        <v>-244</v>
      </c>
    </row>
    <row r="36" spans="2:11" x14ac:dyDescent="0.25">
      <c r="B36">
        <f t="shared" si="1"/>
        <v>734</v>
      </c>
      <c r="C36" s="88">
        <v>6.1</v>
      </c>
      <c r="E36" s="95"/>
      <c r="F36" s="95">
        <v>3.2</v>
      </c>
      <c r="G36">
        <v>1.88</v>
      </c>
      <c r="H36" s="101" t="b">
        <f t="shared" si="2"/>
        <v>0</v>
      </c>
      <c r="I36" s="93">
        <v>1.88</v>
      </c>
      <c r="J36" s="82">
        <f t="shared" si="0"/>
        <v>88</v>
      </c>
      <c r="K36" s="82">
        <f>SUM(J$2:J36)</f>
        <v>-156</v>
      </c>
    </row>
    <row r="37" spans="2:11" x14ac:dyDescent="0.25">
      <c r="B37">
        <f t="shared" si="1"/>
        <v>735</v>
      </c>
      <c r="C37" s="88">
        <v>9.1</v>
      </c>
      <c r="E37" s="95">
        <v>4.5199999999999996</v>
      </c>
      <c r="F37" s="95"/>
      <c r="G37">
        <v>1.88</v>
      </c>
      <c r="H37" s="101" t="b">
        <f t="shared" si="2"/>
        <v>1</v>
      </c>
      <c r="I37" s="93">
        <v>1.88</v>
      </c>
      <c r="J37" s="82">
        <f t="shared" si="0"/>
        <v>88</v>
      </c>
      <c r="K37" s="82">
        <f>SUM(J$2:J37)</f>
        <v>-68</v>
      </c>
    </row>
    <row r="38" spans="2:11" x14ac:dyDescent="0.25">
      <c r="B38">
        <f t="shared" si="1"/>
        <v>736</v>
      </c>
      <c r="C38" s="88">
        <v>9.1</v>
      </c>
      <c r="E38" s="95">
        <v>4.5199999999999996</v>
      </c>
      <c r="F38" s="95"/>
      <c r="G38">
        <v>1.88</v>
      </c>
      <c r="H38" s="101" t="b">
        <f t="shared" si="2"/>
        <v>0</v>
      </c>
      <c r="I38" s="93">
        <v>1.88</v>
      </c>
      <c r="J38" s="82">
        <f t="shared" si="0"/>
        <v>88</v>
      </c>
      <c r="K38" s="82">
        <f>SUM(J$2:J38)</f>
        <v>20</v>
      </c>
    </row>
    <row r="39" spans="2:11" x14ac:dyDescent="0.25">
      <c r="B39">
        <f t="shared" si="1"/>
        <v>737</v>
      </c>
      <c r="C39" s="88">
        <v>6.1</v>
      </c>
      <c r="E39" s="95"/>
      <c r="F39" s="95">
        <v>3.2</v>
      </c>
      <c r="G39">
        <v>1.88</v>
      </c>
      <c r="H39" s="101" t="b">
        <f t="shared" si="2"/>
        <v>0</v>
      </c>
      <c r="I39" s="93">
        <v>1.88</v>
      </c>
      <c r="J39" s="82">
        <f t="shared" si="0"/>
        <v>88</v>
      </c>
      <c r="K39" s="82">
        <f>SUM(J$2:J39)</f>
        <v>108</v>
      </c>
    </row>
    <row r="40" spans="2:11" x14ac:dyDescent="0.25">
      <c r="B40">
        <f t="shared" si="1"/>
        <v>738</v>
      </c>
      <c r="C40" s="88">
        <v>7.1</v>
      </c>
      <c r="E40" s="95"/>
      <c r="F40" s="95">
        <v>3.2</v>
      </c>
      <c r="G40">
        <v>1.88</v>
      </c>
      <c r="H40" s="101" t="b">
        <f t="shared" si="2"/>
        <v>0</v>
      </c>
      <c r="I40" s="93">
        <v>1.88</v>
      </c>
      <c r="J40" s="82">
        <f t="shared" si="0"/>
        <v>88</v>
      </c>
      <c r="K40" s="82">
        <f>SUM(J$2:J40)</f>
        <v>196</v>
      </c>
    </row>
    <row r="41" spans="2:11" x14ac:dyDescent="0.25">
      <c r="B41">
        <f t="shared" si="1"/>
        <v>739</v>
      </c>
      <c r="C41" s="88">
        <v>9</v>
      </c>
      <c r="E41" s="95">
        <v>4.5199999999999996</v>
      </c>
      <c r="F41" s="95"/>
      <c r="G41">
        <v>1.88</v>
      </c>
      <c r="H41" s="101" t="b">
        <f t="shared" si="2"/>
        <v>0</v>
      </c>
      <c r="I41" s="93">
        <v>1.88</v>
      </c>
      <c r="J41" s="82">
        <f t="shared" si="0"/>
        <v>88</v>
      </c>
      <c r="K41" s="82">
        <f>SUM(J$2:J41)</f>
        <v>284</v>
      </c>
    </row>
    <row r="42" spans="2:11" x14ac:dyDescent="0.25">
      <c r="B42" s="94">
        <f t="shared" si="1"/>
        <v>740</v>
      </c>
      <c r="C42" s="96">
        <v>3.2</v>
      </c>
      <c r="E42" s="95"/>
      <c r="F42" s="95"/>
      <c r="H42" s="101" t="b">
        <f t="shared" si="2"/>
        <v>0</v>
      </c>
      <c r="I42" s="91">
        <v>1</v>
      </c>
      <c r="J42" s="82">
        <f t="shared" si="0"/>
        <v>0</v>
      </c>
      <c r="K42" s="82">
        <f>SUM(J$2:J42)</f>
        <v>284</v>
      </c>
    </row>
    <row r="43" spans="2:11" x14ac:dyDescent="0.25">
      <c r="B43">
        <f t="shared" si="1"/>
        <v>741</v>
      </c>
      <c r="C43" s="88">
        <v>9.1</v>
      </c>
      <c r="E43" s="95">
        <v>4.5199999999999996</v>
      </c>
      <c r="F43" s="95"/>
      <c r="G43">
        <v>1.88</v>
      </c>
      <c r="H43" s="101" t="b">
        <f t="shared" si="2"/>
        <v>0</v>
      </c>
      <c r="J43" s="82">
        <f t="shared" si="0"/>
        <v>-100</v>
      </c>
      <c r="K43" s="82">
        <f>SUM(J$2:J43)</f>
        <v>184</v>
      </c>
    </row>
    <row r="44" spans="2:11" x14ac:dyDescent="0.25">
      <c r="B44" s="94">
        <f t="shared" si="1"/>
        <v>742</v>
      </c>
      <c r="C44" s="96">
        <v>3.2</v>
      </c>
      <c r="E44" s="95"/>
      <c r="F44" s="95"/>
      <c r="H44" s="101" t="b">
        <f t="shared" si="2"/>
        <v>1</v>
      </c>
      <c r="I44" s="91">
        <v>2</v>
      </c>
      <c r="J44" s="82">
        <f t="shared" si="0"/>
        <v>100</v>
      </c>
      <c r="K44" s="82">
        <f>SUM(J$2:J44)</f>
        <v>284</v>
      </c>
    </row>
    <row r="45" spans="2:11" x14ac:dyDescent="0.25">
      <c r="B45" s="94">
        <f t="shared" si="1"/>
        <v>743</v>
      </c>
      <c r="C45" s="96">
        <v>3.2</v>
      </c>
      <c r="E45" s="95"/>
      <c r="F45" s="95"/>
      <c r="H45" s="101" t="b">
        <f t="shared" si="2"/>
        <v>0</v>
      </c>
      <c r="J45" s="82">
        <f t="shared" si="0"/>
        <v>-100</v>
      </c>
      <c r="K45" s="82">
        <f>SUM(J$2:J45)</f>
        <v>184</v>
      </c>
    </row>
    <row r="46" spans="2:11" x14ac:dyDescent="0.25">
      <c r="B46">
        <f t="shared" si="1"/>
        <v>744</v>
      </c>
      <c r="C46" s="97">
        <v>6.1</v>
      </c>
      <c r="E46" s="95"/>
      <c r="F46" s="95">
        <v>3.2</v>
      </c>
      <c r="G46">
        <v>1.88</v>
      </c>
      <c r="H46" s="101" t="b">
        <f t="shared" si="2"/>
        <v>0</v>
      </c>
      <c r="J46" s="82">
        <f t="shared" si="0"/>
        <v>-100</v>
      </c>
      <c r="K46" s="82">
        <f>SUM(J$2:J46)</f>
        <v>84</v>
      </c>
    </row>
    <row r="47" spans="2:11" x14ac:dyDescent="0.25">
      <c r="B47">
        <f t="shared" si="1"/>
        <v>745</v>
      </c>
      <c r="C47" s="97">
        <v>7.1</v>
      </c>
      <c r="E47" s="95"/>
      <c r="F47" s="95">
        <v>3.2</v>
      </c>
      <c r="G47">
        <v>1.88</v>
      </c>
      <c r="H47" s="101" t="b">
        <f t="shared" si="2"/>
        <v>0</v>
      </c>
      <c r="I47" s="99">
        <v>1.88</v>
      </c>
      <c r="J47" s="82">
        <f t="shared" si="0"/>
        <v>88</v>
      </c>
      <c r="K47" s="82">
        <f>SUM(J$2:J47)</f>
        <v>172</v>
      </c>
    </row>
    <row r="48" spans="2:11" x14ac:dyDescent="0.25">
      <c r="B48" s="94">
        <f t="shared" si="1"/>
        <v>746</v>
      </c>
      <c r="C48" s="96">
        <v>5.9</v>
      </c>
      <c r="E48" s="95"/>
      <c r="F48" s="95"/>
      <c r="H48" s="101" t="b">
        <f t="shared" si="2"/>
        <v>0</v>
      </c>
      <c r="I48" s="91">
        <v>1</v>
      </c>
      <c r="J48" s="82">
        <f t="shared" si="0"/>
        <v>0</v>
      </c>
      <c r="K48" s="82">
        <f>SUM(J$2:J48)</f>
        <v>172</v>
      </c>
    </row>
    <row r="49" spans="2:11" x14ac:dyDescent="0.25">
      <c r="B49">
        <f t="shared" si="1"/>
        <v>747</v>
      </c>
      <c r="C49" s="97">
        <v>6.1</v>
      </c>
      <c r="E49" s="95"/>
      <c r="F49" s="95">
        <v>3.2</v>
      </c>
      <c r="G49">
        <v>1.88</v>
      </c>
      <c r="H49" s="101" t="b">
        <f t="shared" si="2"/>
        <v>0</v>
      </c>
      <c r="J49" s="82">
        <f t="shared" si="0"/>
        <v>-100</v>
      </c>
      <c r="K49" s="82">
        <f>SUM(J$2:J49)</f>
        <v>72</v>
      </c>
    </row>
    <row r="50" spans="2:11" x14ac:dyDescent="0.25">
      <c r="B50">
        <f t="shared" si="1"/>
        <v>748</v>
      </c>
      <c r="C50" s="97">
        <v>9.1</v>
      </c>
      <c r="E50" s="95">
        <v>4.5199999999999996</v>
      </c>
      <c r="F50" s="95"/>
      <c r="G50">
        <v>1.88</v>
      </c>
      <c r="H50" s="101" t="b">
        <f t="shared" si="2"/>
        <v>0</v>
      </c>
      <c r="I50" s="99">
        <v>1.88</v>
      </c>
      <c r="J50" s="82">
        <f t="shared" si="0"/>
        <v>88</v>
      </c>
      <c r="K50" s="82">
        <f>SUM(J$2:J50)</f>
        <v>160</v>
      </c>
    </row>
    <row r="51" spans="2:11" x14ac:dyDescent="0.25">
      <c r="B51" s="94">
        <f t="shared" si="1"/>
        <v>749</v>
      </c>
      <c r="C51" s="96">
        <v>3.2</v>
      </c>
      <c r="E51" s="95"/>
      <c r="F51" s="95"/>
      <c r="H51" s="101" t="b">
        <f t="shared" si="2"/>
        <v>1</v>
      </c>
      <c r="I51" s="91">
        <v>1</v>
      </c>
      <c r="J51" s="82">
        <f t="shared" si="0"/>
        <v>0</v>
      </c>
      <c r="K51" s="82">
        <f>SUM(J$2:J51)</f>
        <v>160</v>
      </c>
    </row>
    <row r="52" spans="2:11" x14ac:dyDescent="0.25">
      <c r="B52" s="94">
        <f t="shared" si="1"/>
        <v>750</v>
      </c>
      <c r="C52" s="96">
        <v>3.2</v>
      </c>
      <c r="E52" s="95"/>
      <c r="F52" s="95"/>
      <c r="H52" s="101" t="b">
        <f t="shared" si="2"/>
        <v>1</v>
      </c>
      <c r="J52" s="82">
        <f t="shared" si="0"/>
        <v>-100</v>
      </c>
      <c r="K52" s="82">
        <f>SUM(J$2:J52)</f>
        <v>60</v>
      </c>
    </row>
    <row r="53" spans="2:11" x14ac:dyDescent="0.25">
      <c r="B53" s="94">
        <f t="shared" si="1"/>
        <v>751</v>
      </c>
      <c r="C53" s="94">
        <v>3.2</v>
      </c>
      <c r="E53" s="95"/>
      <c r="F53" s="95"/>
      <c r="H53" s="101" t="b">
        <f t="shared" si="2"/>
        <v>0</v>
      </c>
      <c r="J53" s="82">
        <f t="shared" si="0"/>
        <v>-100</v>
      </c>
      <c r="K53" s="82">
        <f>SUM(J$2:J53)</f>
        <v>-40</v>
      </c>
    </row>
    <row r="54" spans="2:11" x14ac:dyDescent="0.25">
      <c r="B54">
        <f t="shared" si="1"/>
        <v>752</v>
      </c>
      <c r="C54">
        <v>9.1</v>
      </c>
      <c r="E54" s="95">
        <v>4.5199999999999996</v>
      </c>
      <c r="F54" s="95"/>
      <c r="G54">
        <v>1.88</v>
      </c>
      <c r="H54" s="101" t="b">
        <f t="shared" si="2"/>
        <v>0</v>
      </c>
      <c r="J54" s="82">
        <f t="shared" si="0"/>
        <v>-100</v>
      </c>
      <c r="K54" s="82">
        <f>SUM(J$2:J54)</f>
        <v>-140</v>
      </c>
    </row>
    <row r="55" spans="2:11" x14ac:dyDescent="0.25">
      <c r="B55">
        <f t="shared" si="1"/>
        <v>753</v>
      </c>
      <c r="C55">
        <v>6.1</v>
      </c>
      <c r="E55" s="95"/>
      <c r="F55" s="95">
        <v>3.2</v>
      </c>
      <c r="G55">
        <v>1.88</v>
      </c>
      <c r="H55" s="101" t="b">
        <f t="shared" si="2"/>
        <v>0</v>
      </c>
      <c r="I55" s="93">
        <v>1.88</v>
      </c>
      <c r="J55" s="82">
        <f t="shared" si="0"/>
        <v>88</v>
      </c>
      <c r="K55" s="82">
        <f>SUM(J$2:J55)</f>
        <v>-52</v>
      </c>
    </row>
    <row r="56" spans="2:11" x14ac:dyDescent="0.25">
      <c r="B56">
        <f t="shared" si="1"/>
        <v>754</v>
      </c>
      <c r="C56" s="88">
        <v>9</v>
      </c>
      <c r="E56" s="95">
        <v>4.5199999999999996</v>
      </c>
      <c r="F56" s="95"/>
      <c r="G56">
        <v>1.88</v>
      </c>
      <c r="H56" s="101" t="b">
        <f t="shared" si="2"/>
        <v>0</v>
      </c>
      <c r="I56" s="99">
        <v>1.88</v>
      </c>
      <c r="J56" s="82">
        <f t="shared" si="0"/>
        <v>88</v>
      </c>
      <c r="K56" s="82">
        <f>SUM(J$2:J56)</f>
        <v>36</v>
      </c>
    </row>
    <row r="57" spans="2:11" x14ac:dyDescent="0.25">
      <c r="B57" s="94">
        <f t="shared" si="1"/>
        <v>755</v>
      </c>
      <c r="C57" s="94">
        <v>3.2</v>
      </c>
      <c r="E57" s="95"/>
      <c r="F57" s="95"/>
      <c r="H57" s="101" t="b">
        <f t="shared" si="2"/>
        <v>0</v>
      </c>
      <c r="I57" s="91">
        <v>1</v>
      </c>
      <c r="J57" s="82">
        <f t="shared" si="0"/>
        <v>0</v>
      </c>
      <c r="K57" s="82">
        <f>SUM(J$2:J57)</f>
        <v>36</v>
      </c>
    </row>
    <row r="58" spans="2:11" x14ac:dyDescent="0.25">
      <c r="B58">
        <f t="shared" si="1"/>
        <v>756</v>
      </c>
      <c r="C58">
        <v>6.1</v>
      </c>
      <c r="E58" s="95"/>
      <c r="F58" s="95">
        <v>3.2</v>
      </c>
      <c r="G58">
        <v>1.88</v>
      </c>
      <c r="H58" s="101" t="b">
        <f t="shared" si="2"/>
        <v>0</v>
      </c>
      <c r="J58" s="82">
        <f t="shared" si="0"/>
        <v>-100</v>
      </c>
      <c r="K58" s="82">
        <f>SUM(J$2:J58)</f>
        <v>-64</v>
      </c>
    </row>
    <row r="59" spans="2:11" x14ac:dyDescent="0.25">
      <c r="B59">
        <f t="shared" si="1"/>
        <v>757</v>
      </c>
      <c r="C59" s="88">
        <v>9</v>
      </c>
      <c r="E59" s="95">
        <v>4.5199999999999996</v>
      </c>
      <c r="F59" s="95"/>
      <c r="G59">
        <v>1.88</v>
      </c>
      <c r="H59" s="101" t="b">
        <f t="shared" si="2"/>
        <v>0</v>
      </c>
      <c r="I59" s="93">
        <v>1.88</v>
      </c>
      <c r="J59" s="82">
        <f t="shared" si="0"/>
        <v>88</v>
      </c>
      <c r="K59" s="82">
        <f>SUM(J$2:J59)</f>
        <v>24</v>
      </c>
    </row>
    <row r="60" spans="2:11" x14ac:dyDescent="0.25">
      <c r="B60">
        <f t="shared" si="1"/>
        <v>758</v>
      </c>
      <c r="C60">
        <v>6.1</v>
      </c>
      <c r="E60" s="95"/>
      <c r="F60" s="95">
        <v>3.2</v>
      </c>
      <c r="G60">
        <v>1.88</v>
      </c>
      <c r="H60" s="101" t="b">
        <f t="shared" si="2"/>
        <v>0</v>
      </c>
      <c r="I60" s="93">
        <v>1.88</v>
      </c>
      <c r="J60" s="82">
        <f t="shared" si="0"/>
        <v>88</v>
      </c>
      <c r="K60" s="82">
        <f>SUM(J$2:J60)</f>
        <v>112</v>
      </c>
    </row>
    <row r="61" spans="2:11" x14ac:dyDescent="0.25">
      <c r="B61" s="94">
        <f t="shared" si="1"/>
        <v>759</v>
      </c>
      <c r="C61" s="94">
        <v>3.2</v>
      </c>
      <c r="E61" s="95"/>
      <c r="F61" s="95"/>
      <c r="H61" s="101" t="b">
        <f t="shared" si="2"/>
        <v>1</v>
      </c>
      <c r="I61" s="91">
        <v>1</v>
      </c>
      <c r="J61" s="82">
        <f t="shared" si="0"/>
        <v>0</v>
      </c>
      <c r="K61" s="82">
        <f>SUM(J$2:J61)</f>
        <v>112</v>
      </c>
    </row>
    <row r="62" spans="2:11" x14ac:dyDescent="0.25">
      <c r="B62" s="94">
        <f t="shared" si="1"/>
        <v>760</v>
      </c>
      <c r="C62" s="94">
        <v>3.2</v>
      </c>
      <c r="E62" s="95"/>
      <c r="F62" s="95"/>
      <c r="H62" s="101" t="b">
        <f t="shared" si="2"/>
        <v>1</v>
      </c>
      <c r="J62" s="82">
        <f t="shared" si="0"/>
        <v>-100</v>
      </c>
      <c r="K62" s="82">
        <f>SUM(J$2:J62)</f>
        <v>12</v>
      </c>
    </row>
    <row r="63" spans="2:11" x14ac:dyDescent="0.25">
      <c r="B63" s="94">
        <f t="shared" si="1"/>
        <v>761</v>
      </c>
      <c r="C63" s="94">
        <v>3.2</v>
      </c>
      <c r="E63" s="95"/>
      <c r="F63" s="95"/>
      <c r="H63" s="101" t="b">
        <f t="shared" si="2"/>
        <v>0</v>
      </c>
      <c r="J63" s="82">
        <f t="shared" si="0"/>
        <v>-100</v>
      </c>
      <c r="K63" s="82">
        <f>SUM(J$2:J63)</f>
        <v>-88</v>
      </c>
    </row>
    <row r="64" spans="2:11" x14ac:dyDescent="0.25">
      <c r="B64">
        <f t="shared" si="1"/>
        <v>762</v>
      </c>
      <c r="C64">
        <v>9.1</v>
      </c>
      <c r="E64" s="95">
        <v>4.5199999999999996</v>
      </c>
      <c r="F64" s="95"/>
      <c r="G64">
        <v>1.88</v>
      </c>
      <c r="H64" s="101" t="b">
        <f t="shared" si="2"/>
        <v>0</v>
      </c>
      <c r="J64" s="82">
        <f t="shared" si="0"/>
        <v>-100</v>
      </c>
      <c r="K64" s="82">
        <f>SUM(J$2:J64)</f>
        <v>-188</v>
      </c>
    </row>
    <row r="65" spans="2:11" x14ac:dyDescent="0.25">
      <c r="B65" s="94">
        <f t="shared" si="1"/>
        <v>763</v>
      </c>
      <c r="C65" s="94">
        <v>3.2</v>
      </c>
      <c r="E65" s="95"/>
      <c r="F65" s="95"/>
      <c r="H65" s="101" t="b">
        <f t="shared" si="2"/>
        <v>0</v>
      </c>
      <c r="I65" s="91">
        <v>2</v>
      </c>
      <c r="J65" s="82">
        <f t="shared" si="0"/>
        <v>100</v>
      </c>
      <c r="K65" s="82">
        <f>SUM(J$2:J65)</f>
        <v>-88</v>
      </c>
    </row>
    <row r="66" spans="2:11" x14ac:dyDescent="0.25">
      <c r="B66">
        <f t="shared" si="1"/>
        <v>764</v>
      </c>
      <c r="C66">
        <v>7.1</v>
      </c>
      <c r="E66" s="95"/>
      <c r="F66" s="95">
        <v>3.2</v>
      </c>
      <c r="G66">
        <v>1.88</v>
      </c>
      <c r="H66" s="101" t="b">
        <f t="shared" si="2"/>
        <v>0</v>
      </c>
      <c r="J66" s="82">
        <f t="shared" si="0"/>
        <v>-100</v>
      </c>
      <c r="K66" s="82">
        <f>SUM(J$2:J66)</f>
        <v>-188</v>
      </c>
    </row>
    <row r="67" spans="2:11" x14ac:dyDescent="0.25">
      <c r="B67" s="94">
        <f t="shared" si="1"/>
        <v>765</v>
      </c>
      <c r="C67" s="94">
        <v>3.2</v>
      </c>
      <c r="E67" s="95"/>
      <c r="F67" s="95"/>
      <c r="H67" s="101" t="b">
        <f t="shared" si="2"/>
        <v>0</v>
      </c>
      <c r="I67" s="91">
        <v>3</v>
      </c>
      <c r="J67" s="82">
        <f t="shared" ref="J67:J130" si="3">100*I67-100</f>
        <v>200</v>
      </c>
      <c r="K67" s="82">
        <f>SUM(J$2:J67)</f>
        <v>12</v>
      </c>
    </row>
    <row r="68" spans="2:11" x14ac:dyDescent="0.25">
      <c r="B68" s="94">
        <f>B67+1</f>
        <v>766</v>
      </c>
      <c r="C68" s="94">
        <v>5.9</v>
      </c>
      <c r="E68" s="95"/>
      <c r="F68" s="95"/>
      <c r="H68" s="101" t="b">
        <f t="shared" si="2"/>
        <v>0</v>
      </c>
      <c r="J68" s="82">
        <f t="shared" si="3"/>
        <v>-100</v>
      </c>
      <c r="K68" s="82">
        <f>SUM(J$2:J68)</f>
        <v>-88</v>
      </c>
    </row>
    <row r="69" spans="2:11" x14ac:dyDescent="0.25">
      <c r="B69">
        <f t="shared" si="1"/>
        <v>767</v>
      </c>
      <c r="C69" s="85">
        <v>7.1</v>
      </c>
      <c r="E69" s="95"/>
      <c r="F69" s="95">
        <v>3.2</v>
      </c>
      <c r="G69">
        <v>1.88</v>
      </c>
      <c r="H69" s="101" t="b">
        <f t="shared" si="2"/>
        <v>0</v>
      </c>
      <c r="J69" s="82">
        <f t="shared" si="3"/>
        <v>-100</v>
      </c>
      <c r="K69" s="82">
        <f>SUM(J$2:J69)</f>
        <v>-188</v>
      </c>
    </row>
    <row r="70" spans="2:11" x14ac:dyDescent="0.25">
      <c r="B70" s="94">
        <f t="shared" ref="B70:B133" si="4">B69+1</f>
        <v>768</v>
      </c>
      <c r="C70" s="94">
        <v>3.2</v>
      </c>
      <c r="E70" s="95"/>
      <c r="F70" s="95"/>
      <c r="H70" s="101" t="b">
        <f t="shared" si="2"/>
        <v>0</v>
      </c>
      <c r="I70" s="91">
        <v>4</v>
      </c>
      <c r="J70" s="82">
        <f t="shared" si="3"/>
        <v>300</v>
      </c>
      <c r="K70" s="82">
        <f>SUM(J$2:J70)</f>
        <v>112</v>
      </c>
    </row>
    <row r="71" spans="2:11" x14ac:dyDescent="0.25">
      <c r="B71" s="94">
        <f t="shared" si="4"/>
        <v>769</v>
      </c>
      <c r="C71" s="94">
        <v>5.9</v>
      </c>
      <c r="E71" s="95"/>
      <c r="F71" s="95"/>
      <c r="H71" s="101" t="b">
        <f t="shared" ref="H71:H134" si="5">C71=C72</f>
        <v>0</v>
      </c>
      <c r="J71" s="82">
        <f t="shared" si="3"/>
        <v>-100</v>
      </c>
      <c r="K71" s="82">
        <f>SUM(J$2:J71)</f>
        <v>12</v>
      </c>
    </row>
    <row r="72" spans="2:11" x14ac:dyDescent="0.25">
      <c r="B72" s="94">
        <f t="shared" si="4"/>
        <v>770</v>
      </c>
      <c r="C72" s="94">
        <v>3.2</v>
      </c>
      <c r="E72" s="95"/>
      <c r="F72" s="95"/>
      <c r="H72" s="101" t="b">
        <f t="shared" si="5"/>
        <v>1</v>
      </c>
      <c r="J72" s="82">
        <f t="shared" si="3"/>
        <v>-100</v>
      </c>
      <c r="K72" s="82">
        <f>SUM(J$2:J72)</f>
        <v>-88</v>
      </c>
    </row>
    <row r="73" spans="2:11" x14ac:dyDescent="0.25">
      <c r="B73" s="94">
        <f t="shared" si="4"/>
        <v>771</v>
      </c>
      <c r="C73" s="94">
        <v>3.2</v>
      </c>
      <c r="E73" s="95"/>
      <c r="F73" s="95"/>
      <c r="H73" s="101" t="b">
        <f t="shared" si="5"/>
        <v>1</v>
      </c>
      <c r="J73" s="82">
        <f t="shared" si="3"/>
        <v>-100</v>
      </c>
      <c r="K73" s="82">
        <f>SUM(J$2:J73)</f>
        <v>-188</v>
      </c>
    </row>
    <row r="74" spans="2:11" x14ac:dyDescent="0.25">
      <c r="B74" s="94">
        <f t="shared" si="4"/>
        <v>772</v>
      </c>
      <c r="C74" s="94">
        <v>3.2</v>
      </c>
      <c r="E74" s="95"/>
      <c r="F74" s="95"/>
      <c r="H74" s="101" t="b">
        <f t="shared" si="5"/>
        <v>0</v>
      </c>
      <c r="J74" s="82">
        <f t="shared" si="3"/>
        <v>-100</v>
      </c>
      <c r="K74" s="82">
        <f>SUM(J$2:J74)</f>
        <v>-288</v>
      </c>
    </row>
    <row r="75" spans="2:11" x14ac:dyDescent="0.25">
      <c r="B75" s="94">
        <f t="shared" si="4"/>
        <v>773</v>
      </c>
      <c r="C75" s="94">
        <v>5.9</v>
      </c>
      <c r="E75" s="95"/>
      <c r="F75" s="95"/>
      <c r="H75" s="101" t="b">
        <f t="shared" si="5"/>
        <v>0</v>
      </c>
      <c r="J75" s="82">
        <f t="shared" si="3"/>
        <v>-100</v>
      </c>
      <c r="K75" s="82">
        <f>SUM(J$2:J75)</f>
        <v>-388</v>
      </c>
    </row>
    <row r="76" spans="2:11" x14ac:dyDescent="0.25">
      <c r="B76">
        <f t="shared" si="4"/>
        <v>774</v>
      </c>
      <c r="C76" s="85">
        <v>9.1</v>
      </c>
      <c r="E76" s="95">
        <v>4.5199999999999996</v>
      </c>
      <c r="F76" s="95"/>
      <c r="G76">
        <v>1.88</v>
      </c>
      <c r="H76" s="101" t="b">
        <f t="shared" si="5"/>
        <v>0</v>
      </c>
      <c r="J76" s="82">
        <f t="shared" si="3"/>
        <v>-100</v>
      </c>
      <c r="K76" s="82">
        <f>SUM(J$2:J76)</f>
        <v>-488</v>
      </c>
    </row>
    <row r="77" spans="2:11" x14ac:dyDescent="0.25">
      <c r="B77">
        <f t="shared" si="4"/>
        <v>775</v>
      </c>
      <c r="C77" s="85">
        <v>9</v>
      </c>
      <c r="E77" s="95">
        <v>4.5199999999999996</v>
      </c>
      <c r="F77" s="95"/>
      <c r="G77">
        <v>1.88</v>
      </c>
      <c r="H77" s="101" t="b">
        <f t="shared" si="5"/>
        <v>0</v>
      </c>
      <c r="I77" s="93">
        <v>1.88</v>
      </c>
      <c r="J77" s="82">
        <f t="shared" si="3"/>
        <v>88</v>
      </c>
      <c r="K77" s="82">
        <f>SUM(J$2:J77)</f>
        <v>-400</v>
      </c>
    </row>
    <row r="78" spans="2:11" x14ac:dyDescent="0.25">
      <c r="B78" s="94">
        <f t="shared" si="4"/>
        <v>776</v>
      </c>
      <c r="C78" s="94">
        <v>3.2</v>
      </c>
      <c r="E78" s="95"/>
      <c r="F78" s="95"/>
      <c r="H78" s="101" t="b">
        <f t="shared" si="5"/>
        <v>0</v>
      </c>
      <c r="I78" s="91">
        <v>1</v>
      </c>
      <c r="J78" s="82">
        <f t="shared" si="3"/>
        <v>0</v>
      </c>
      <c r="K78" s="82">
        <f>SUM(J$2:J78)</f>
        <v>-400</v>
      </c>
    </row>
    <row r="79" spans="2:11" x14ac:dyDescent="0.25">
      <c r="B79">
        <f t="shared" si="4"/>
        <v>777</v>
      </c>
      <c r="C79" s="85">
        <v>6.1</v>
      </c>
      <c r="E79" s="95"/>
      <c r="F79" s="95">
        <v>3.2</v>
      </c>
      <c r="G79">
        <v>1.88</v>
      </c>
      <c r="H79" s="101" t="b">
        <f t="shared" si="5"/>
        <v>1</v>
      </c>
      <c r="J79" s="82">
        <f t="shared" si="3"/>
        <v>-100</v>
      </c>
      <c r="K79" s="82">
        <f>SUM(J$2:J79)</f>
        <v>-500</v>
      </c>
    </row>
    <row r="80" spans="2:11" x14ac:dyDescent="0.25">
      <c r="B80">
        <f t="shared" si="4"/>
        <v>778</v>
      </c>
      <c r="C80" s="85">
        <v>6.1</v>
      </c>
      <c r="E80" s="95"/>
      <c r="F80" s="95">
        <v>3.2</v>
      </c>
      <c r="G80">
        <v>1.88</v>
      </c>
      <c r="H80" s="101" t="b">
        <f t="shared" si="5"/>
        <v>0</v>
      </c>
      <c r="I80" s="93">
        <v>1.88</v>
      </c>
      <c r="J80" s="82">
        <f t="shared" si="3"/>
        <v>88</v>
      </c>
      <c r="K80" s="82">
        <f>SUM(J$2:J80)</f>
        <v>-412</v>
      </c>
    </row>
    <row r="81" spans="2:11" x14ac:dyDescent="0.25">
      <c r="B81">
        <f t="shared" si="4"/>
        <v>779</v>
      </c>
      <c r="E81" s="95"/>
      <c r="F81" s="95"/>
      <c r="H81" s="101" t="b">
        <f t="shared" si="5"/>
        <v>0</v>
      </c>
      <c r="I81" s="91">
        <v>1</v>
      </c>
      <c r="J81" s="82">
        <f t="shared" si="3"/>
        <v>0</v>
      </c>
      <c r="K81" s="82">
        <f>SUM(J$2:J81)</f>
        <v>-412</v>
      </c>
    </row>
    <row r="82" spans="2:11" x14ac:dyDescent="0.25">
      <c r="B82">
        <f t="shared" si="4"/>
        <v>780</v>
      </c>
      <c r="C82">
        <v>7.1</v>
      </c>
      <c r="E82" s="95"/>
      <c r="F82" s="95">
        <v>3.2</v>
      </c>
      <c r="G82">
        <v>1.88</v>
      </c>
      <c r="H82" s="101" t="b">
        <f t="shared" si="5"/>
        <v>0</v>
      </c>
      <c r="J82" s="82">
        <f t="shared" si="3"/>
        <v>-100</v>
      </c>
      <c r="K82" s="82">
        <f>SUM(J$2:J82)</f>
        <v>-512</v>
      </c>
    </row>
    <row r="83" spans="2:11" x14ac:dyDescent="0.25">
      <c r="B83">
        <f t="shared" si="4"/>
        <v>781</v>
      </c>
      <c r="C83">
        <v>9.1</v>
      </c>
      <c r="E83" s="95">
        <v>4.5199999999999996</v>
      </c>
      <c r="F83" s="95"/>
      <c r="G83">
        <v>1.88</v>
      </c>
      <c r="H83" s="101" t="b">
        <f t="shared" si="5"/>
        <v>1</v>
      </c>
      <c r="I83" s="93">
        <v>1.88</v>
      </c>
      <c r="J83" s="82">
        <f t="shared" si="3"/>
        <v>88</v>
      </c>
      <c r="K83" s="82">
        <f>SUM(J$2:J83)</f>
        <v>-424</v>
      </c>
    </row>
    <row r="84" spans="2:11" x14ac:dyDescent="0.25">
      <c r="B84">
        <f t="shared" si="4"/>
        <v>782</v>
      </c>
      <c r="C84">
        <v>9.1</v>
      </c>
      <c r="E84" s="95">
        <v>4.5199999999999996</v>
      </c>
      <c r="F84" s="95"/>
      <c r="G84">
        <v>1.88</v>
      </c>
      <c r="H84" s="101" t="b">
        <f t="shared" si="5"/>
        <v>0</v>
      </c>
      <c r="I84" s="93">
        <v>1.88</v>
      </c>
      <c r="J84" s="82">
        <f t="shared" si="3"/>
        <v>88</v>
      </c>
      <c r="K84" s="82">
        <f>SUM(J$2:J84)</f>
        <v>-336</v>
      </c>
    </row>
    <row r="85" spans="2:11" x14ac:dyDescent="0.25">
      <c r="B85" s="94">
        <f t="shared" si="4"/>
        <v>783</v>
      </c>
      <c r="C85" s="94">
        <v>3.2</v>
      </c>
      <c r="E85" s="95"/>
      <c r="F85" s="95"/>
      <c r="H85" s="101" t="b">
        <f t="shared" si="5"/>
        <v>0</v>
      </c>
      <c r="I85" s="91">
        <v>1</v>
      </c>
      <c r="J85" s="82">
        <f t="shared" si="3"/>
        <v>0</v>
      </c>
      <c r="K85" s="82">
        <f>SUM(J$2:J85)</f>
        <v>-336</v>
      </c>
    </row>
    <row r="86" spans="2:11" x14ac:dyDescent="0.25">
      <c r="B86" s="94">
        <f t="shared" si="4"/>
        <v>784</v>
      </c>
      <c r="C86" s="94">
        <v>5.9</v>
      </c>
      <c r="E86" s="95"/>
      <c r="F86" s="95"/>
      <c r="H86" s="101" t="b">
        <f t="shared" si="5"/>
        <v>0</v>
      </c>
      <c r="J86" s="82">
        <f t="shared" si="3"/>
        <v>-100</v>
      </c>
      <c r="K86" s="82">
        <f>SUM(J$2:J86)</f>
        <v>-436</v>
      </c>
    </row>
    <row r="87" spans="2:11" x14ac:dyDescent="0.25">
      <c r="B87" s="94">
        <f t="shared" si="4"/>
        <v>785</v>
      </c>
      <c r="C87" s="94">
        <v>3.2</v>
      </c>
      <c r="E87" s="95"/>
      <c r="F87" s="95"/>
      <c r="H87" s="101" t="b">
        <f t="shared" si="5"/>
        <v>1</v>
      </c>
      <c r="J87" s="82">
        <f t="shared" si="3"/>
        <v>-100</v>
      </c>
      <c r="K87" s="82">
        <f>SUM(J$2:J87)</f>
        <v>-536</v>
      </c>
    </row>
    <row r="88" spans="2:11" x14ac:dyDescent="0.25">
      <c r="B88" s="94">
        <f t="shared" si="4"/>
        <v>786</v>
      </c>
      <c r="C88" s="94">
        <v>3.2</v>
      </c>
      <c r="E88" s="95"/>
      <c r="F88" s="95"/>
      <c r="H88" s="101" t="b">
        <f t="shared" si="5"/>
        <v>0</v>
      </c>
      <c r="J88" s="82">
        <f t="shared" si="3"/>
        <v>-100</v>
      </c>
      <c r="K88" s="82">
        <f>SUM(J$2:J88)</f>
        <v>-636</v>
      </c>
    </row>
    <row r="89" spans="2:11" x14ac:dyDescent="0.25">
      <c r="B89">
        <f t="shared" si="4"/>
        <v>787</v>
      </c>
      <c r="C89">
        <v>6.1</v>
      </c>
      <c r="E89" s="95"/>
      <c r="F89" s="95">
        <v>3.2</v>
      </c>
      <c r="G89">
        <v>1.88</v>
      </c>
      <c r="H89" s="101" t="b">
        <f t="shared" si="5"/>
        <v>0</v>
      </c>
      <c r="J89" s="82">
        <f t="shared" si="3"/>
        <v>-100</v>
      </c>
      <c r="K89" s="82">
        <f>SUM(J$2:J89)</f>
        <v>-736</v>
      </c>
    </row>
    <row r="90" spans="2:11" x14ac:dyDescent="0.25">
      <c r="B90">
        <f t="shared" si="4"/>
        <v>788</v>
      </c>
      <c r="C90">
        <v>7.1</v>
      </c>
      <c r="E90" s="95"/>
      <c r="F90" s="95">
        <v>3.2</v>
      </c>
      <c r="G90">
        <v>1.88</v>
      </c>
      <c r="H90" s="101" t="b">
        <f t="shared" si="5"/>
        <v>0</v>
      </c>
      <c r="I90" s="93">
        <v>1.88</v>
      </c>
      <c r="J90" s="82">
        <f t="shared" si="3"/>
        <v>88</v>
      </c>
      <c r="K90" s="82">
        <f>SUM(J$2:J90)</f>
        <v>-648</v>
      </c>
    </row>
    <row r="91" spans="2:11" x14ac:dyDescent="0.25">
      <c r="B91" s="94">
        <f t="shared" si="4"/>
        <v>789</v>
      </c>
      <c r="C91" s="94">
        <v>3.2</v>
      </c>
      <c r="E91" s="95"/>
      <c r="F91" s="95"/>
      <c r="H91" s="101" t="b">
        <f t="shared" si="5"/>
        <v>0</v>
      </c>
      <c r="I91" s="91">
        <v>1</v>
      </c>
      <c r="J91" s="82">
        <f t="shared" si="3"/>
        <v>0</v>
      </c>
      <c r="K91" s="82">
        <f>SUM(J$2:J91)</f>
        <v>-648</v>
      </c>
    </row>
    <row r="92" spans="2:11" x14ac:dyDescent="0.25">
      <c r="B92">
        <f t="shared" si="4"/>
        <v>790</v>
      </c>
      <c r="C92">
        <v>7.1</v>
      </c>
      <c r="E92" s="95"/>
      <c r="F92" s="95">
        <v>3.2</v>
      </c>
      <c r="G92">
        <v>1.88</v>
      </c>
      <c r="H92" s="101" t="b">
        <f t="shared" si="5"/>
        <v>1</v>
      </c>
      <c r="J92" s="82">
        <f t="shared" si="3"/>
        <v>-100</v>
      </c>
      <c r="K92" s="82">
        <f>SUM(J$2:J92)</f>
        <v>-748</v>
      </c>
    </row>
    <row r="93" spans="2:11" x14ac:dyDescent="0.25">
      <c r="B93">
        <f t="shared" si="4"/>
        <v>791</v>
      </c>
      <c r="C93">
        <v>7.1</v>
      </c>
      <c r="E93" s="95"/>
      <c r="F93" s="95">
        <v>3.2</v>
      </c>
      <c r="G93">
        <v>1.88</v>
      </c>
      <c r="H93" s="101" t="b">
        <f t="shared" si="5"/>
        <v>0</v>
      </c>
      <c r="I93" s="93">
        <v>1.88</v>
      </c>
      <c r="J93" s="82">
        <f t="shared" si="3"/>
        <v>88</v>
      </c>
      <c r="K93" s="82">
        <f>SUM(J$2:J93)</f>
        <v>-660</v>
      </c>
    </row>
    <row r="94" spans="2:11" x14ac:dyDescent="0.25">
      <c r="B94">
        <f t="shared" si="4"/>
        <v>792</v>
      </c>
      <c r="C94">
        <v>9</v>
      </c>
      <c r="E94" s="95">
        <v>4.5199999999999996</v>
      </c>
      <c r="F94" s="95"/>
      <c r="G94">
        <v>1.88</v>
      </c>
      <c r="H94" s="101" t="b">
        <f t="shared" si="5"/>
        <v>0</v>
      </c>
      <c r="I94" s="93">
        <v>1.88</v>
      </c>
      <c r="J94" s="82">
        <f t="shared" si="3"/>
        <v>88</v>
      </c>
      <c r="K94" s="82">
        <f>SUM(J$2:J94)</f>
        <v>-572</v>
      </c>
    </row>
    <row r="95" spans="2:11" x14ac:dyDescent="0.25">
      <c r="B95" s="94">
        <f t="shared" si="4"/>
        <v>793</v>
      </c>
      <c r="C95" s="94">
        <v>3.2</v>
      </c>
      <c r="E95" s="95"/>
      <c r="F95" s="95"/>
      <c r="H95" s="101" t="b">
        <f t="shared" si="5"/>
        <v>0</v>
      </c>
      <c r="I95" s="91">
        <v>1</v>
      </c>
      <c r="J95" s="82">
        <f t="shared" si="3"/>
        <v>0</v>
      </c>
      <c r="K95" s="82">
        <f>SUM(J$2:J95)</f>
        <v>-572</v>
      </c>
    </row>
    <row r="96" spans="2:11" x14ac:dyDescent="0.25">
      <c r="B96">
        <f t="shared" si="4"/>
        <v>794</v>
      </c>
      <c r="C96">
        <v>9</v>
      </c>
      <c r="E96" s="95">
        <v>4.55</v>
      </c>
      <c r="F96" s="95"/>
      <c r="G96">
        <v>1.88</v>
      </c>
      <c r="H96" s="101" t="b">
        <f t="shared" si="5"/>
        <v>0</v>
      </c>
      <c r="I96" s="93">
        <v>1.88</v>
      </c>
      <c r="J96" s="82">
        <f t="shared" si="3"/>
        <v>88</v>
      </c>
      <c r="K96" s="82">
        <f>SUM(J$2:J96)</f>
        <v>-484</v>
      </c>
    </row>
    <row r="97" spans="2:11" x14ac:dyDescent="0.25">
      <c r="B97" s="94">
        <f t="shared" si="4"/>
        <v>795</v>
      </c>
      <c r="C97" s="94">
        <v>3.2</v>
      </c>
      <c r="E97" s="95"/>
      <c r="F97" s="95"/>
      <c r="H97" s="101" t="b">
        <f t="shared" si="5"/>
        <v>0</v>
      </c>
      <c r="I97" s="91">
        <v>1</v>
      </c>
      <c r="J97" s="82">
        <f t="shared" si="3"/>
        <v>0</v>
      </c>
      <c r="K97" s="82">
        <f>SUM(J$2:J97)</f>
        <v>-484</v>
      </c>
    </row>
    <row r="98" spans="2:11" x14ac:dyDescent="0.25">
      <c r="B98" s="94">
        <f t="shared" si="4"/>
        <v>796</v>
      </c>
      <c r="C98" s="94">
        <v>5.9</v>
      </c>
      <c r="E98" s="95"/>
      <c r="F98" s="95"/>
      <c r="H98" s="101" t="b">
        <f t="shared" si="5"/>
        <v>0</v>
      </c>
      <c r="J98" s="82">
        <f t="shared" si="3"/>
        <v>-100</v>
      </c>
      <c r="K98" s="82">
        <f>SUM(J$2:J98)</f>
        <v>-584</v>
      </c>
    </row>
    <row r="99" spans="2:11" x14ac:dyDescent="0.25">
      <c r="B99">
        <f t="shared" si="4"/>
        <v>797</v>
      </c>
      <c r="C99">
        <v>6.1</v>
      </c>
      <c r="E99" s="95"/>
      <c r="F99" s="95">
        <v>3.2</v>
      </c>
      <c r="G99">
        <v>1.88</v>
      </c>
      <c r="H99" s="101" t="b">
        <f t="shared" si="5"/>
        <v>0</v>
      </c>
      <c r="J99" s="82">
        <f t="shared" si="3"/>
        <v>-100</v>
      </c>
      <c r="K99" s="82">
        <f>SUM(J$2:J99)</f>
        <v>-684</v>
      </c>
    </row>
    <row r="100" spans="2:11" x14ac:dyDescent="0.25">
      <c r="B100" s="94">
        <f t="shared" si="4"/>
        <v>798</v>
      </c>
      <c r="C100" s="94">
        <v>3.2</v>
      </c>
      <c r="E100" s="95"/>
      <c r="F100" s="95"/>
      <c r="H100" s="101" t="b">
        <f t="shared" si="5"/>
        <v>1</v>
      </c>
      <c r="I100" s="91">
        <v>2</v>
      </c>
      <c r="J100" s="82">
        <f t="shared" si="3"/>
        <v>100</v>
      </c>
      <c r="K100" s="82">
        <f>SUM(J$2:J100)</f>
        <v>-584</v>
      </c>
    </row>
    <row r="101" spans="2:11" x14ac:dyDescent="0.25">
      <c r="B101" s="94">
        <f t="shared" si="4"/>
        <v>799</v>
      </c>
      <c r="C101" s="94">
        <v>3.2</v>
      </c>
      <c r="E101" s="95"/>
      <c r="F101" s="95"/>
      <c r="H101" s="101" t="b">
        <f t="shared" si="5"/>
        <v>1</v>
      </c>
      <c r="J101" s="82">
        <f t="shared" si="3"/>
        <v>-100</v>
      </c>
      <c r="K101" s="82">
        <f>SUM(J$2:J101)</f>
        <v>-684</v>
      </c>
    </row>
    <row r="102" spans="2:11" x14ac:dyDescent="0.25">
      <c r="B102" s="94">
        <f t="shared" si="4"/>
        <v>800</v>
      </c>
      <c r="C102" s="94">
        <v>3.2</v>
      </c>
      <c r="E102" s="95"/>
      <c r="F102" s="95"/>
      <c r="H102" s="101" t="b">
        <f t="shared" si="5"/>
        <v>0</v>
      </c>
      <c r="J102" s="82">
        <f t="shared" si="3"/>
        <v>-100</v>
      </c>
      <c r="K102" s="82">
        <f>SUM(J$2:J102)</f>
        <v>-784</v>
      </c>
    </row>
    <row r="103" spans="2:11" x14ac:dyDescent="0.25">
      <c r="B103">
        <f t="shared" si="4"/>
        <v>801</v>
      </c>
      <c r="C103">
        <v>6.1</v>
      </c>
      <c r="E103" s="95"/>
      <c r="F103" s="95">
        <v>3.2</v>
      </c>
      <c r="G103">
        <v>1.88</v>
      </c>
      <c r="H103" s="101" t="b">
        <f t="shared" si="5"/>
        <v>0</v>
      </c>
      <c r="J103" s="82">
        <f t="shared" si="3"/>
        <v>-100</v>
      </c>
      <c r="K103" s="82">
        <f>SUM(J$2:J103)</f>
        <v>-884</v>
      </c>
    </row>
    <row r="104" spans="2:11" x14ac:dyDescent="0.25">
      <c r="B104" s="94">
        <f t="shared" si="4"/>
        <v>802</v>
      </c>
      <c r="C104" s="94">
        <v>3.2</v>
      </c>
      <c r="E104" s="95"/>
      <c r="F104" s="95"/>
      <c r="H104" s="101" t="b">
        <f t="shared" si="5"/>
        <v>0</v>
      </c>
      <c r="I104" s="91">
        <v>3</v>
      </c>
      <c r="J104" s="82">
        <f t="shared" si="3"/>
        <v>200</v>
      </c>
      <c r="K104" s="82">
        <f>SUM(J$2:J104)</f>
        <v>-684</v>
      </c>
    </row>
    <row r="105" spans="2:11" x14ac:dyDescent="0.25">
      <c r="B105" s="94">
        <f t="shared" si="4"/>
        <v>803</v>
      </c>
      <c r="C105" s="94">
        <v>5.9</v>
      </c>
      <c r="E105" s="95"/>
      <c r="F105" s="95"/>
      <c r="H105" s="101" t="b">
        <f t="shared" si="5"/>
        <v>0</v>
      </c>
      <c r="J105" s="82">
        <f t="shared" si="3"/>
        <v>-100</v>
      </c>
      <c r="K105" s="82">
        <f>SUM(J$2:J105)</f>
        <v>-784</v>
      </c>
    </row>
    <row r="106" spans="2:11" x14ac:dyDescent="0.25">
      <c r="B106">
        <f t="shared" si="4"/>
        <v>804</v>
      </c>
      <c r="C106">
        <v>9.1</v>
      </c>
      <c r="E106" s="95">
        <v>4.5199999999999996</v>
      </c>
      <c r="F106" s="95"/>
      <c r="G106">
        <v>1.88</v>
      </c>
      <c r="H106" s="101" t="b">
        <f t="shared" si="5"/>
        <v>1</v>
      </c>
      <c r="J106" s="82">
        <f t="shared" si="3"/>
        <v>-100</v>
      </c>
      <c r="K106" s="82">
        <f>SUM(J$2:J106)</f>
        <v>-884</v>
      </c>
    </row>
    <row r="107" spans="2:11" x14ac:dyDescent="0.25">
      <c r="B107">
        <f t="shared" si="4"/>
        <v>805</v>
      </c>
      <c r="C107">
        <v>9.1</v>
      </c>
      <c r="E107" s="95">
        <v>4.5199999999999996</v>
      </c>
      <c r="F107" s="95"/>
      <c r="G107">
        <v>1.88</v>
      </c>
      <c r="H107" s="101" t="b">
        <f t="shared" si="5"/>
        <v>0</v>
      </c>
      <c r="I107" s="93">
        <v>1.88</v>
      </c>
      <c r="J107" s="82">
        <f t="shared" si="3"/>
        <v>88</v>
      </c>
      <c r="K107" s="82">
        <f>SUM(J$2:J107)</f>
        <v>-796</v>
      </c>
    </row>
    <row r="108" spans="2:11" x14ac:dyDescent="0.25">
      <c r="B108" s="94">
        <f t="shared" si="4"/>
        <v>806</v>
      </c>
      <c r="C108" s="94">
        <v>3.2</v>
      </c>
      <c r="E108" s="95"/>
      <c r="F108" s="95"/>
      <c r="H108" s="101" t="b">
        <f t="shared" si="5"/>
        <v>0</v>
      </c>
      <c r="I108" s="91">
        <v>1</v>
      </c>
      <c r="J108" s="82">
        <f t="shared" si="3"/>
        <v>0</v>
      </c>
      <c r="K108" s="82">
        <f>SUM(J$2:J108)</f>
        <v>-796</v>
      </c>
    </row>
    <row r="109" spans="2:11" x14ac:dyDescent="0.25">
      <c r="B109">
        <f t="shared" si="4"/>
        <v>807</v>
      </c>
      <c r="C109">
        <v>6.1</v>
      </c>
      <c r="E109" s="95"/>
      <c r="F109" s="95">
        <v>3.2</v>
      </c>
      <c r="G109">
        <v>1.88</v>
      </c>
      <c r="H109" s="101" t="b">
        <f t="shared" si="5"/>
        <v>0</v>
      </c>
      <c r="J109" s="82">
        <f t="shared" si="3"/>
        <v>-100</v>
      </c>
      <c r="K109" s="82">
        <f>SUM(J$2:J109)</f>
        <v>-896</v>
      </c>
    </row>
    <row r="110" spans="2:11" x14ac:dyDescent="0.25">
      <c r="B110" s="94">
        <f t="shared" si="4"/>
        <v>808</v>
      </c>
      <c r="C110" s="94">
        <v>5.9</v>
      </c>
      <c r="F110" s="81"/>
      <c r="H110" s="101" t="b">
        <f t="shared" si="5"/>
        <v>0</v>
      </c>
      <c r="I110" s="91">
        <v>2</v>
      </c>
      <c r="J110" s="82">
        <f t="shared" si="3"/>
        <v>100</v>
      </c>
      <c r="K110" s="82">
        <f>SUM(J$2:J110)</f>
        <v>-796</v>
      </c>
    </row>
    <row r="111" spans="2:11" x14ac:dyDescent="0.25">
      <c r="B111">
        <f t="shared" si="4"/>
        <v>809</v>
      </c>
      <c r="C111">
        <v>7.1</v>
      </c>
      <c r="F111" s="81">
        <v>3.2</v>
      </c>
      <c r="G111">
        <v>1.88</v>
      </c>
      <c r="H111" s="101" t="b">
        <f t="shared" si="5"/>
        <v>1</v>
      </c>
      <c r="J111" s="82">
        <f t="shared" si="3"/>
        <v>-100</v>
      </c>
      <c r="K111" s="82">
        <f>SUM(J$2:J111)</f>
        <v>-896</v>
      </c>
    </row>
    <row r="112" spans="2:11" x14ac:dyDescent="0.25">
      <c r="B112">
        <f t="shared" si="4"/>
        <v>810</v>
      </c>
      <c r="C112">
        <v>7.1</v>
      </c>
      <c r="F112" s="81">
        <v>3.2</v>
      </c>
      <c r="G112">
        <v>1.88</v>
      </c>
      <c r="H112" s="101" t="b">
        <f t="shared" si="5"/>
        <v>0</v>
      </c>
      <c r="I112" s="93">
        <v>1.88</v>
      </c>
      <c r="J112" s="82">
        <f t="shared" si="3"/>
        <v>88</v>
      </c>
      <c r="K112" s="82">
        <f>SUM(J$2:J112)</f>
        <v>-808</v>
      </c>
    </row>
    <row r="113" spans="2:11" x14ac:dyDescent="0.25">
      <c r="B113">
        <f t="shared" si="4"/>
        <v>811</v>
      </c>
      <c r="C113">
        <v>6.1</v>
      </c>
      <c r="F113" s="81">
        <v>3.2</v>
      </c>
      <c r="G113">
        <v>1.88</v>
      </c>
      <c r="H113" s="101" t="b">
        <f t="shared" si="5"/>
        <v>0</v>
      </c>
      <c r="I113" s="93">
        <v>1.88</v>
      </c>
      <c r="J113" s="82">
        <f t="shared" si="3"/>
        <v>88</v>
      </c>
      <c r="K113" s="82">
        <f>SUM(J$2:J113)</f>
        <v>-720</v>
      </c>
    </row>
    <row r="114" spans="2:11" x14ac:dyDescent="0.25">
      <c r="B114" s="94">
        <f t="shared" si="4"/>
        <v>812</v>
      </c>
      <c r="C114" s="94">
        <v>5.9</v>
      </c>
      <c r="F114" s="81"/>
      <c r="H114" s="101" t="b">
        <f t="shared" si="5"/>
        <v>0</v>
      </c>
      <c r="I114" s="91">
        <v>1</v>
      </c>
      <c r="J114" s="82">
        <f t="shared" si="3"/>
        <v>0</v>
      </c>
      <c r="K114" s="82">
        <f>SUM(J$2:J114)</f>
        <v>-720</v>
      </c>
    </row>
    <row r="115" spans="2:11" x14ac:dyDescent="0.25">
      <c r="B115" s="94">
        <f t="shared" si="4"/>
        <v>813</v>
      </c>
      <c r="C115" s="94">
        <v>3.2</v>
      </c>
      <c r="F115" s="81"/>
      <c r="H115" s="101" t="b">
        <f t="shared" si="5"/>
        <v>0</v>
      </c>
      <c r="J115" s="82">
        <f t="shared" si="3"/>
        <v>-100</v>
      </c>
      <c r="K115" s="82">
        <f>SUM(J$2:J115)</f>
        <v>-820</v>
      </c>
    </row>
    <row r="116" spans="2:11" x14ac:dyDescent="0.25">
      <c r="B116">
        <f t="shared" si="4"/>
        <v>814</v>
      </c>
      <c r="C116">
        <v>9.1</v>
      </c>
      <c r="E116">
        <v>4.55</v>
      </c>
      <c r="G116">
        <v>1.88</v>
      </c>
      <c r="H116" s="101" t="b">
        <f t="shared" si="5"/>
        <v>0</v>
      </c>
      <c r="J116" s="82">
        <f t="shared" si="3"/>
        <v>-100</v>
      </c>
      <c r="K116" s="82">
        <f>SUM(J$2:J116)</f>
        <v>-920</v>
      </c>
    </row>
    <row r="117" spans="2:11" x14ac:dyDescent="0.25">
      <c r="B117">
        <f t="shared" si="4"/>
        <v>815</v>
      </c>
      <c r="C117">
        <v>3.2</v>
      </c>
      <c r="H117" s="101" t="b">
        <f t="shared" si="5"/>
        <v>0</v>
      </c>
      <c r="I117" s="91">
        <v>2</v>
      </c>
      <c r="J117" s="82">
        <f t="shared" si="3"/>
        <v>100</v>
      </c>
      <c r="K117" s="82">
        <f>SUM(J$2:J117)</f>
        <v>-820</v>
      </c>
    </row>
    <row r="118" spans="2:11" x14ac:dyDescent="0.25">
      <c r="B118">
        <f t="shared" si="4"/>
        <v>816</v>
      </c>
      <c r="C118">
        <v>7.1</v>
      </c>
      <c r="F118">
        <v>3.2</v>
      </c>
      <c r="G118">
        <v>1.88</v>
      </c>
      <c r="H118" s="101" t="b">
        <f t="shared" si="5"/>
        <v>0</v>
      </c>
      <c r="J118" s="82">
        <f t="shared" si="3"/>
        <v>-100</v>
      </c>
      <c r="K118" s="82">
        <f>SUM(J$2:J118)</f>
        <v>-920</v>
      </c>
    </row>
    <row r="119" spans="2:11" x14ac:dyDescent="0.25">
      <c r="B119" s="94">
        <f t="shared" si="4"/>
        <v>817</v>
      </c>
      <c r="C119" s="94">
        <v>5.9</v>
      </c>
      <c r="H119" s="101" t="b">
        <f t="shared" si="5"/>
        <v>0</v>
      </c>
      <c r="I119" s="91">
        <v>3</v>
      </c>
      <c r="J119" s="82">
        <f t="shared" si="3"/>
        <v>200</v>
      </c>
      <c r="K119" s="82">
        <f>SUM(J$2:J119)</f>
        <v>-720</v>
      </c>
    </row>
    <row r="120" spans="2:11" x14ac:dyDescent="0.25">
      <c r="B120" s="94">
        <f t="shared" si="4"/>
        <v>818</v>
      </c>
      <c r="C120" s="94">
        <v>3.2</v>
      </c>
      <c r="H120" s="101" t="b">
        <f t="shared" si="5"/>
        <v>0</v>
      </c>
      <c r="J120" s="82">
        <f t="shared" si="3"/>
        <v>-100</v>
      </c>
      <c r="K120" s="82">
        <f>SUM(J$2:J120)</f>
        <v>-820</v>
      </c>
    </row>
    <row r="121" spans="2:11" x14ac:dyDescent="0.25">
      <c r="B121">
        <f t="shared" si="4"/>
        <v>819</v>
      </c>
      <c r="C121">
        <v>9</v>
      </c>
      <c r="E121">
        <v>4.55</v>
      </c>
      <c r="G121">
        <v>1.88</v>
      </c>
      <c r="H121" s="101" t="b">
        <f t="shared" si="5"/>
        <v>0</v>
      </c>
      <c r="J121" s="82">
        <f t="shared" si="3"/>
        <v>-100</v>
      </c>
      <c r="K121" s="82">
        <f>SUM(J$2:J121)</f>
        <v>-920</v>
      </c>
    </row>
    <row r="122" spans="2:11" x14ac:dyDescent="0.25">
      <c r="B122" s="94">
        <f t="shared" si="4"/>
        <v>820</v>
      </c>
      <c r="C122" s="94">
        <v>3.2</v>
      </c>
      <c r="H122" s="101" t="b">
        <f t="shared" si="5"/>
        <v>0</v>
      </c>
      <c r="I122" s="91">
        <v>4</v>
      </c>
      <c r="J122" s="82">
        <f t="shared" si="3"/>
        <v>300</v>
      </c>
      <c r="K122" s="82">
        <f>SUM(J$2:J122)</f>
        <v>-620</v>
      </c>
    </row>
    <row r="123" spans="2:11" x14ac:dyDescent="0.25">
      <c r="B123" s="94">
        <f t="shared" si="4"/>
        <v>821</v>
      </c>
      <c r="C123" s="94">
        <v>5.9</v>
      </c>
      <c r="H123" s="101" t="b">
        <f t="shared" si="5"/>
        <v>0</v>
      </c>
      <c r="J123" s="82">
        <f t="shared" si="3"/>
        <v>-100</v>
      </c>
      <c r="K123" s="82">
        <f>SUM(J$2:J123)</f>
        <v>-720</v>
      </c>
    </row>
    <row r="124" spans="2:11" x14ac:dyDescent="0.25">
      <c r="B124">
        <f t="shared" si="4"/>
        <v>822</v>
      </c>
      <c r="C124">
        <v>9</v>
      </c>
      <c r="E124">
        <v>4.55</v>
      </c>
      <c r="G124">
        <v>1.88</v>
      </c>
      <c r="H124" s="101" t="b">
        <f t="shared" si="5"/>
        <v>0</v>
      </c>
      <c r="J124" s="82">
        <f t="shared" si="3"/>
        <v>-100</v>
      </c>
      <c r="K124" s="82">
        <f>SUM(J$2:J124)</f>
        <v>-820</v>
      </c>
    </row>
    <row r="125" spans="2:11" x14ac:dyDescent="0.25">
      <c r="B125">
        <f t="shared" si="4"/>
        <v>823</v>
      </c>
      <c r="C125">
        <v>7.1</v>
      </c>
      <c r="F125">
        <v>3.22</v>
      </c>
      <c r="G125">
        <v>1.88</v>
      </c>
      <c r="H125" s="101" t="b">
        <f t="shared" si="5"/>
        <v>0</v>
      </c>
      <c r="I125" s="93">
        <v>1.88</v>
      </c>
      <c r="J125" s="82">
        <f t="shared" si="3"/>
        <v>88</v>
      </c>
      <c r="K125" s="82">
        <f>SUM(J$2:J125)</f>
        <v>-732</v>
      </c>
    </row>
    <row r="126" spans="2:11" x14ac:dyDescent="0.25">
      <c r="B126" s="94">
        <f t="shared" si="4"/>
        <v>824</v>
      </c>
      <c r="C126" s="94">
        <v>5.9</v>
      </c>
      <c r="H126" s="101" t="b">
        <f t="shared" si="5"/>
        <v>0</v>
      </c>
      <c r="I126" s="91">
        <v>1</v>
      </c>
      <c r="J126" s="82">
        <f t="shared" si="3"/>
        <v>0</v>
      </c>
      <c r="K126" s="82">
        <f>SUM(J$2:J126)</f>
        <v>-732</v>
      </c>
    </row>
    <row r="127" spans="2:11" x14ac:dyDescent="0.25">
      <c r="B127" s="94">
        <f t="shared" si="4"/>
        <v>825</v>
      </c>
      <c r="C127" s="94">
        <v>3.2</v>
      </c>
      <c r="H127" s="101" t="b">
        <f t="shared" si="5"/>
        <v>1</v>
      </c>
      <c r="J127" s="82">
        <f t="shared" si="3"/>
        <v>-100</v>
      </c>
      <c r="K127" s="82">
        <f>SUM(J$2:J127)</f>
        <v>-832</v>
      </c>
    </row>
    <row r="128" spans="2:11" x14ac:dyDescent="0.25">
      <c r="B128" s="94">
        <f t="shared" si="4"/>
        <v>826</v>
      </c>
      <c r="C128" s="94">
        <v>3.2</v>
      </c>
      <c r="H128" s="101" t="b">
        <f t="shared" si="5"/>
        <v>1</v>
      </c>
      <c r="J128" s="82">
        <f t="shared" si="3"/>
        <v>-100</v>
      </c>
      <c r="K128" s="82">
        <f>SUM(J$2:J128)</f>
        <v>-932</v>
      </c>
    </row>
    <row r="129" spans="2:11" x14ac:dyDescent="0.25">
      <c r="B129" s="94">
        <f t="shared" si="4"/>
        <v>827</v>
      </c>
      <c r="C129" s="94">
        <v>3.2</v>
      </c>
      <c r="H129" s="101" t="b">
        <f t="shared" si="5"/>
        <v>0</v>
      </c>
      <c r="J129" s="82">
        <f t="shared" si="3"/>
        <v>-100</v>
      </c>
      <c r="K129" s="82">
        <f>SUM(J$2:J129)</f>
        <v>-1032</v>
      </c>
    </row>
    <row r="130" spans="2:11" x14ac:dyDescent="0.25">
      <c r="B130">
        <f t="shared" si="4"/>
        <v>828</v>
      </c>
      <c r="C130" s="85">
        <v>9.1</v>
      </c>
      <c r="E130">
        <v>4.5199999999999996</v>
      </c>
      <c r="G130">
        <v>1.88</v>
      </c>
      <c r="H130" s="101" t="b">
        <f t="shared" si="5"/>
        <v>0</v>
      </c>
      <c r="J130" s="82">
        <f t="shared" si="3"/>
        <v>-100</v>
      </c>
      <c r="K130" s="82">
        <f>SUM(J$2:J130)</f>
        <v>-1132</v>
      </c>
    </row>
    <row r="131" spans="2:11" x14ac:dyDescent="0.25">
      <c r="B131">
        <f t="shared" si="4"/>
        <v>829</v>
      </c>
      <c r="C131" s="85">
        <v>6.1</v>
      </c>
      <c r="F131">
        <v>3.22</v>
      </c>
      <c r="G131">
        <v>1.88</v>
      </c>
      <c r="H131" s="101" t="b">
        <f t="shared" si="5"/>
        <v>0</v>
      </c>
      <c r="I131" s="93">
        <v>1.88</v>
      </c>
      <c r="J131" s="82">
        <f t="shared" ref="J131:J163" si="6">100*I131-100</f>
        <v>88</v>
      </c>
      <c r="K131" s="82">
        <f>SUM(J$2:J131)</f>
        <v>-1044</v>
      </c>
    </row>
    <row r="132" spans="2:11" x14ac:dyDescent="0.25">
      <c r="B132">
        <f t="shared" si="4"/>
        <v>830</v>
      </c>
      <c r="C132" s="85">
        <v>7.1</v>
      </c>
      <c r="F132">
        <v>3.22</v>
      </c>
      <c r="G132">
        <v>1.88</v>
      </c>
      <c r="H132" s="101" t="b">
        <f t="shared" si="5"/>
        <v>0</v>
      </c>
      <c r="I132" s="93">
        <v>1.88</v>
      </c>
      <c r="J132" s="82">
        <f t="shared" si="6"/>
        <v>88</v>
      </c>
      <c r="K132" s="82">
        <f>SUM(J$2:J132)</f>
        <v>-956</v>
      </c>
    </row>
    <row r="133" spans="2:11" x14ac:dyDescent="0.25">
      <c r="B133" s="94">
        <f t="shared" si="4"/>
        <v>831</v>
      </c>
      <c r="C133" s="94">
        <v>3.2</v>
      </c>
      <c r="H133" s="101" t="b">
        <f t="shared" si="5"/>
        <v>1</v>
      </c>
      <c r="I133" s="91">
        <v>1</v>
      </c>
      <c r="J133" s="82">
        <f t="shared" si="6"/>
        <v>0</v>
      </c>
      <c r="K133" s="82">
        <f>SUM(J$2:J133)</f>
        <v>-956</v>
      </c>
    </row>
    <row r="134" spans="2:11" x14ac:dyDescent="0.25">
      <c r="B134" s="94">
        <f t="shared" ref="B134:B163" si="7">B133+1</f>
        <v>832</v>
      </c>
      <c r="C134" s="94">
        <v>3.2</v>
      </c>
      <c r="H134" s="101" t="b">
        <f t="shared" si="5"/>
        <v>0</v>
      </c>
      <c r="J134" s="82">
        <f t="shared" si="6"/>
        <v>-100</v>
      </c>
      <c r="K134" s="82">
        <f>SUM(J$2:J134)</f>
        <v>-1056</v>
      </c>
    </row>
    <row r="135" spans="2:11" x14ac:dyDescent="0.25">
      <c r="B135">
        <f t="shared" si="7"/>
        <v>833</v>
      </c>
      <c r="C135" s="85">
        <v>9.1</v>
      </c>
      <c r="E135">
        <v>4.5199999999999996</v>
      </c>
      <c r="G135">
        <v>1.88</v>
      </c>
      <c r="H135" s="101" t="b">
        <f t="shared" ref="H135:H163" si="8">C135=C136</f>
        <v>0</v>
      </c>
      <c r="J135" s="82">
        <f t="shared" si="6"/>
        <v>-100</v>
      </c>
      <c r="K135" s="82">
        <f>SUM(J$2:J135)</f>
        <v>-1156</v>
      </c>
    </row>
    <row r="136" spans="2:11" x14ac:dyDescent="0.25">
      <c r="B136" s="94">
        <f t="shared" si="7"/>
        <v>834</v>
      </c>
      <c r="C136" s="94">
        <v>3.2</v>
      </c>
      <c r="H136" s="101" t="b">
        <f t="shared" si="8"/>
        <v>1</v>
      </c>
      <c r="I136" s="91">
        <v>2</v>
      </c>
      <c r="J136" s="82">
        <f t="shared" si="6"/>
        <v>100</v>
      </c>
      <c r="K136" s="82">
        <f>SUM(J$2:J136)</f>
        <v>-1056</v>
      </c>
    </row>
    <row r="137" spans="2:11" x14ac:dyDescent="0.25">
      <c r="B137" s="94">
        <f t="shared" si="7"/>
        <v>835</v>
      </c>
      <c r="C137" s="94">
        <v>3.2</v>
      </c>
      <c r="H137" s="101" t="b">
        <f t="shared" si="8"/>
        <v>1</v>
      </c>
      <c r="J137" s="82">
        <f t="shared" si="6"/>
        <v>-100</v>
      </c>
      <c r="K137" s="82">
        <f>SUM(J$2:J137)</f>
        <v>-1156</v>
      </c>
    </row>
    <row r="138" spans="2:11" x14ac:dyDescent="0.25">
      <c r="B138" s="94">
        <f t="shared" si="7"/>
        <v>836</v>
      </c>
      <c r="C138" s="94">
        <v>3.2</v>
      </c>
      <c r="H138" s="101" t="b">
        <f t="shared" si="8"/>
        <v>1</v>
      </c>
      <c r="J138" s="82">
        <f t="shared" si="6"/>
        <v>-100</v>
      </c>
      <c r="K138" s="82">
        <f>SUM(J$2:J138)</f>
        <v>-1256</v>
      </c>
    </row>
    <row r="139" spans="2:11" x14ac:dyDescent="0.25">
      <c r="B139" s="94">
        <f t="shared" si="7"/>
        <v>837</v>
      </c>
      <c r="C139" s="94">
        <v>3.2</v>
      </c>
      <c r="H139" s="101" t="b">
        <f t="shared" si="8"/>
        <v>0</v>
      </c>
      <c r="J139" s="82">
        <f t="shared" si="6"/>
        <v>-100</v>
      </c>
      <c r="K139" s="82">
        <f>SUM(J$2:J139)</f>
        <v>-1356</v>
      </c>
    </row>
    <row r="140" spans="2:11" x14ac:dyDescent="0.25">
      <c r="B140">
        <f t="shared" si="7"/>
        <v>838</v>
      </c>
      <c r="C140" s="85">
        <v>9.1</v>
      </c>
      <c r="E140">
        <v>4.5199999999999996</v>
      </c>
      <c r="G140">
        <v>1.88</v>
      </c>
      <c r="H140" s="101" t="b">
        <f t="shared" si="8"/>
        <v>0</v>
      </c>
      <c r="J140" s="82">
        <f t="shared" si="6"/>
        <v>-100</v>
      </c>
      <c r="K140" s="82">
        <f>SUM(J$2:J140)</f>
        <v>-1456</v>
      </c>
    </row>
    <row r="141" spans="2:11" x14ac:dyDescent="0.25">
      <c r="B141">
        <f t="shared" si="7"/>
        <v>839</v>
      </c>
      <c r="C141" s="85">
        <v>6.1</v>
      </c>
      <c r="F141">
        <v>3.22</v>
      </c>
      <c r="G141">
        <v>1.88</v>
      </c>
      <c r="H141" s="101" t="b">
        <f t="shared" si="8"/>
        <v>0</v>
      </c>
      <c r="I141" s="93">
        <v>1.88</v>
      </c>
      <c r="J141" s="82">
        <f t="shared" si="6"/>
        <v>88</v>
      </c>
      <c r="K141" s="82">
        <f>SUM(J$2:J141)</f>
        <v>-1368</v>
      </c>
    </row>
    <row r="142" spans="2:11" x14ac:dyDescent="0.25">
      <c r="B142" s="94">
        <f t="shared" si="7"/>
        <v>840</v>
      </c>
      <c r="C142" s="94">
        <v>3.2</v>
      </c>
      <c r="H142" s="101" t="b">
        <f t="shared" si="8"/>
        <v>0</v>
      </c>
      <c r="I142" s="91">
        <v>1</v>
      </c>
      <c r="J142" s="82">
        <f t="shared" si="6"/>
        <v>0</v>
      </c>
      <c r="K142" s="82">
        <f>SUM(J$2:J142)</f>
        <v>-1368</v>
      </c>
    </row>
    <row r="143" spans="2:11" x14ac:dyDescent="0.25">
      <c r="B143">
        <f t="shared" si="7"/>
        <v>841</v>
      </c>
      <c r="C143" s="85">
        <v>9.1</v>
      </c>
      <c r="G143">
        <v>1.88</v>
      </c>
      <c r="H143" s="101" t="b">
        <f t="shared" si="8"/>
        <v>0</v>
      </c>
      <c r="J143" s="82">
        <f t="shared" si="6"/>
        <v>-100</v>
      </c>
      <c r="K143" s="82">
        <f>SUM(J$2:J143)</f>
        <v>-1468</v>
      </c>
    </row>
    <row r="144" spans="2:11" x14ac:dyDescent="0.25">
      <c r="B144" s="94">
        <f t="shared" si="7"/>
        <v>842</v>
      </c>
      <c r="C144" s="94">
        <v>3.2</v>
      </c>
      <c r="H144" s="101" t="b">
        <f t="shared" si="8"/>
        <v>0</v>
      </c>
      <c r="I144" s="91">
        <v>2</v>
      </c>
      <c r="J144" s="82">
        <f t="shared" si="6"/>
        <v>100</v>
      </c>
      <c r="K144" s="82">
        <f>SUM(J$2:J144)</f>
        <v>-1368</v>
      </c>
    </row>
    <row r="145" spans="2:11" x14ac:dyDescent="0.25">
      <c r="B145">
        <f t="shared" si="7"/>
        <v>843</v>
      </c>
      <c r="C145" s="85">
        <v>9.1</v>
      </c>
      <c r="E145">
        <v>4.5199999999999996</v>
      </c>
      <c r="G145">
        <v>1.88</v>
      </c>
      <c r="H145" s="101" t="b">
        <f t="shared" si="8"/>
        <v>0</v>
      </c>
      <c r="J145" s="82">
        <f t="shared" si="6"/>
        <v>-100</v>
      </c>
      <c r="K145" s="82">
        <f>SUM(J$2:J145)</f>
        <v>-1468</v>
      </c>
    </row>
    <row r="146" spans="2:11" x14ac:dyDescent="0.25">
      <c r="B146">
        <f t="shared" si="7"/>
        <v>844</v>
      </c>
      <c r="H146" s="101" t="b">
        <f t="shared" si="8"/>
        <v>0</v>
      </c>
      <c r="I146" s="91">
        <v>3</v>
      </c>
      <c r="J146" s="82">
        <f t="shared" si="6"/>
        <v>200</v>
      </c>
      <c r="K146" s="82">
        <f>SUM(J$2:J146)</f>
        <v>-1268</v>
      </c>
    </row>
    <row r="147" spans="2:11" x14ac:dyDescent="0.25">
      <c r="B147" s="94">
        <f t="shared" si="7"/>
        <v>845</v>
      </c>
      <c r="C147" s="94">
        <v>5.9</v>
      </c>
      <c r="H147" s="101" t="b">
        <f t="shared" si="8"/>
        <v>0</v>
      </c>
      <c r="J147" s="82">
        <f t="shared" si="6"/>
        <v>-100</v>
      </c>
      <c r="K147" s="82">
        <f>SUM(J$2:J147)</f>
        <v>-1368</v>
      </c>
    </row>
    <row r="148" spans="2:11" x14ac:dyDescent="0.25">
      <c r="B148" s="94">
        <f t="shared" si="7"/>
        <v>846</v>
      </c>
      <c r="C148" s="94">
        <v>3.2</v>
      </c>
      <c r="H148" s="101" t="b">
        <f t="shared" si="8"/>
        <v>0</v>
      </c>
      <c r="J148" s="82">
        <f t="shared" si="6"/>
        <v>-100</v>
      </c>
      <c r="K148" s="82">
        <f>SUM(J$2:J148)</f>
        <v>-1468</v>
      </c>
    </row>
    <row r="149" spans="2:11" x14ac:dyDescent="0.25">
      <c r="B149">
        <f t="shared" si="7"/>
        <v>847</v>
      </c>
      <c r="C149" s="85">
        <v>6.1</v>
      </c>
      <c r="F149">
        <v>3.22</v>
      </c>
      <c r="G149">
        <v>1.88</v>
      </c>
      <c r="H149" s="101" t="b">
        <f t="shared" si="8"/>
        <v>0</v>
      </c>
      <c r="J149" s="82">
        <f t="shared" si="6"/>
        <v>-100</v>
      </c>
      <c r="K149" s="82">
        <f>SUM(J$2:J149)</f>
        <v>-1568</v>
      </c>
    </row>
    <row r="150" spans="2:11" x14ac:dyDescent="0.25">
      <c r="B150">
        <f t="shared" si="7"/>
        <v>848</v>
      </c>
      <c r="C150" s="85">
        <v>9</v>
      </c>
      <c r="E150">
        <v>4.5199999999999996</v>
      </c>
      <c r="G150">
        <v>1.88</v>
      </c>
      <c r="H150" s="101" t="b">
        <f t="shared" si="8"/>
        <v>0</v>
      </c>
      <c r="I150" s="93">
        <v>1.88</v>
      </c>
      <c r="J150" s="82">
        <f t="shared" si="6"/>
        <v>88</v>
      </c>
      <c r="K150" s="82">
        <f>SUM(J$2:J150)</f>
        <v>-1480</v>
      </c>
    </row>
    <row r="151" spans="2:11" x14ac:dyDescent="0.25">
      <c r="B151">
        <f t="shared" si="7"/>
        <v>849</v>
      </c>
      <c r="C151" s="85">
        <v>7.1</v>
      </c>
      <c r="F151">
        <v>3.22</v>
      </c>
      <c r="G151">
        <v>1.88</v>
      </c>
      <c r="H151" s="101" t="b">
        <f t="shared" si="8"/>
        <v>0</v>
      </c>
      <c r="I151" s="93">
        <v>1.88</v>
      </c>
      <c r="J151" s="82">
        <f t="shared" si="6"/>
        <v>88</v>
      </c>
      <c r="K151" s="82">
        <f>SUM(J$2:J151)</f>
        <v>-1392</v>
      </c>
    </row>
    <row r="152" spans="2:11" x14ac:dyDescent="0.25">
      <c r="B152" s="94">
        <f t="shared" si="7"/>
        <v>850</v>
      </c>
      <c r="C152" s="94">
        <v>3.2</v>
      </c>
      <c r="H152" s="101" t="b">
        <f t="shared" si="8"/>
        <v>0</v>
      </c>
      <c r="I152" s="91">
        <v>1</v>
      </c>
      <c r="J152" s="82">
        <f t="shared" si="6"/>
        <v>0</v>
      </c>
      <c r="K152" s="82">
        <f>SUM(J$2:J152)</f>
        <v>-1392</v>
      </c>
    </row>
    <row r="153" spans="2:11" x14ac:dyDescent="0.25">
      <c r="B153" s="94">
        <f t="shared" si="7"/>
        <v>851</v>
      </c>
      <c r="C153" s="94">
        <v>5.9</v>
      </c>
      <c r="H153" s="101" t="b">
        <f t="shared" si="8"/>
        <v>0</v>
      </c>
      <c r="J153" s="82">
        <f t="shared" si="6"/>
        <v>-100</v>
      </c>
      <c r="K153" s="82">
        <f>SUM(J$2:J153)</f>
        <v>-1492</v>
      </c>
    </row>
    <row r="154" spans="2:11" x14ac:dyDescent="0.25">
      <c r="B154" s="94">
        <f t="shared" si="7"/>
        <v>852</v>
      </c>
      <c r="C154" s="94">
        <v>3.2</v>
      </c>
      <c r="H154" s="101" t="b">
        <f t="shared" si="8"/>
        <v>0</v>
      </c>
      <c r="J154" s="82">
        <f t="shared" si="6"/>
        <v>-100</v>
      </c>
      <c r="K154" s="82">
        <f>SUM(J$2:J154)</f>
        <v>-1592</v>
      </c>
    </row>
    <row r="155" spans="2:11" x14ac:dyDescent="0.25">
      <c r="B155" s="94">
        <f t="shared" si="7"/>
        <v>853</v>
      </c>
      <c r="C155" s="94">
        <v>5.9</v>
      </c>
      <c r="H155" s="101" t="b">
        <f t="shared" si="8"/>
        <v>0</v>
      </c>
      <c r="J155" s="82">
        <f t="shared" si="6"/>
        <v>-100</v>
      </c>
      <c r="K155" s="82">
        <f>SUM(J$2:J155)</f>
        <v>-1692</v>
      </c>
    </row>
    <row r="156" spans="2:11" x14ac:dyDescent="0.25">
      <c r="B156" s="94">
        <f t="shared" si="7"/>
        <v>854</v>
      </c>
      <c r="C156" s="94">
        <v>3.2</v>
      </c>
      <c r="H156" s="101" t="b">
        <f t="shared" si="8"/>
        <v>1</v>
      </c>
      <c r="J156" s="82">
        <f t="shared" si="6"/>
        <v>-100</v>
      </c>
      <c r="K156" s="82">
        <f>SUM(J$2:J156)</f>
        <v>-1792</v>
      </c>
    </row>
    <row r="157" spans="2:11" x14ac:dyDescent="0.25">
      <c r="B157" s="94">
        <f t="shared" si="7"/>
        <v>855</v>
      </c>
      <c r="C157" s="94">
        <v>3.2</v>
      </c>
      <c r="H157" s="101" t="b">
        <f t="shared" si="8"/>
        <v>0</v>
      </c>
      <c r="J157" s="82">
        <f t="shared" si="6"/>
        <v>-100</v>
      </c>
      <c r="K157" s="82">
        <f>SUM(J$2:J157)</f>
        <v>-1892</v>
      </c>
    </row>
    <row r="158" spans="2:11" x14ac:dyDescent="0.25">
      <c r="B158" s="85">
        <f t="shared" si="7"/>
        <v>856</v>
      </c>
      <c r="C158" s="85">
        <v>6.1</v>
      </c>
      <c r="F158">
        <v>3.22</v>
      </c>
      <c r="G158">
        <v>1.88</v>
      </c>
      <c r="H158" s="101" t="b">
        <f t="shared" si="8"/>
        <v>1</v>
      </c>
      <c r="J158" s="82">
        <f t="shared" si="6"/>
        <v>-100</v>
      </c>
      <c r="K158" s="82">
        <f>SUM(J$2:J158)</f>
        <v>-1992</v>
      </c>
    </row>
    <row r="159" spans="2:11" x14ac:dyDescent="0.25">
      <c r="B159" s="85">
        <f t="shared" si="7"/>
        <v>857</v>
      </c>
      <c r="C159" s="85">
        <v>6.1</v>
      </c>
      <c r="F159">
        <v>3.22</v>
      </c>
      <c r="G159">
        <v>1.88</v>
      </c>
      <c r="H159" s="101" t="b">
        <f t="shared" si="8"/>
        <v>0</v>
      </c>
      <c r="I159" s="93">
        <v>1.88</v>
      </c>
      <c r="J159" s="82">
        <f t="shared" si="6"/>
        <v>88</v>
      </c>
      <c r="K159" s="82">
        <f>SUM(J$2:J159)</f>
        <v>-1904</v>
      </c>
    </row>
    <row r="160" spans="2:11" x14ac:dyDescent="0.25">
      <c r="B160" s="85">
        <f t="shared" si="7"/>
        <v>858</v>
      </c>
      <c r="C160" s="85">
        <v>9.1</v>
      </c>
      <c r="E160">
        <v>4.5199999999999996</v>
      </c>
      <c r="G160">
        <v>1.88</v>
      </c>
      <c r="H160" s="101" t="b">
        <f t="shared" si="8"/>
        <v>0</v>
      </c>
      <c r="I160" s="93">
        <v>1.88</v>
      </c>
      <c r="J160" s="82">
        <f t="shared" si="6"/>
        <v>88</v>
      </c>
      <c r="K160" s="82">
        <f>SUM(J$2:J160)</f>
        <v>-1816</v>
      </c>
    </row>
    <row r="161" spans="2:11" x14ac:dyDescent="0.25">
      <c r="B161" s="94">
        <f t="shared" si="7"/>
        <v>859</v>
      </c>
      <c r="C161" s="94">
        <v>5.9</v>
      </c>
      <c r="H161" s="101" t="b">
        <f t="shared" si="8"/>
        <v>0</v>
      </c>
      <c r="I161" s="91">
        <v>1</v>
      </c>
      <c r="J161" s="82">
        <f t="shared" si="6"/>
        <v>0</v>
      </c>
      <c r="K161" s="82">
        <f>SUM(J$2:J161)</f>
        <v>-1816</v>
      </c>
    </row>
    <row r="162" spans="2:11" x14ac:dyDescent="0.25">
      <c r="B162" s="85">
        <f t="shared" si="7"/>
        <v>860</v>
      </c>
      <c r="C162" s="85">
        <v>6.1</v>
      </c>
      <c r="F162">
        <v>3.22</v>
      </c>
      <c r="G162">
        <v>1.88</v>
      </c>
      <c r="H162" s="101" t="b">
        <f t="shared" si="8"/>
        <v>0</v>
      </c>
      <c r="J162" s="82">
        <f t="shared" si="6"/>
        <v>-100</v>
      </c>
      <c r="K162" s="82">
        <f>SUM(J$2:J162)</f>
        <v>-1916</v>
      </c>
    </row>
    <row r="163" spans="2:11" x14ac:dyDescent="0.25">
      <c r="B163" s="85">
        <f t="shared" si="7"/>
        <v>861</v>
      </c>
      <c r="C163" s="85">
        <v>7.1</v>
      </c>
      <c r="F163">
        <v>3.22</v>
      </c>
      <c r="G163">
        <v>1.88</v>
      </c>
      <c r="H163" s="101" t="b">
        <f t="shared" si="8"/>
        <v>0</v>
      </c>
      <c r="I163" s="93">
        <v>1.88</v>
      </c>
      <c r="J163" s="82">
        <f t="shared" si="6"/>
        <v>88</v>
      </c>
      <c r="K163" s="82">
        <f>SUM(J$2:J163)</f>
        <v>-1828</v>
      </c>
    </row>
    <row r="164" spans="2:11" x14ac:dyDescent="0.25">
      <c r="B164" s="85"/>
      <c r="C164" s="85"/>
    </row>
    <row r="165" spans="2:11" x14ac:dyDescent="0.25">
      <c r="B165" s="85"/>
      <c r="C165" s="85"/>
    </row>
    <row r="166" spans="2:11" x14ac:dyDescent="0.25">
      <c r="B166" s="85"/>
      <c r="C166" s="85"/>
    </row>
    <row r="167" spans="2:11" x14ac:dyDescent="0.25">
      <c r="B167" s="85"/>
      <c r="C167" s="85"/>
    </row>
    <row r="168" spans="2:11" x14ac:dyDescent="0.25">
      <c r="B168" s="85"/>
      <c r="C168" s="85"/>
    </row>
  </sheetData>
  <conditionalFormatting sqref="K2:K163">
    <cfRule type="aboveAverage" dxfId="1" priority="1"/>
    <cfRule type="aboveAverage" priority="3"/>
  </conditionalFormatting>
  <conditionalFormatting sqref="K1:K163">
    <cfRule type="aboveAverage" dxfId="0" priority="2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N193"/>
  <sheetViews>
    <sheetView workbookViewId="0">
      <pane ySplit="2" topLeftCell="A172" activePane="bottomLeft" state="frozen"/>
      <selection pane="bottomLeft" activeCell="B61" sqref="B61:C193"/>
    </sheetView>
  </sheetViews>
  <sheetFormatPr defaultRowHeight="15" x14ac:dyDescent="0.25"/>
  <cols>
    <col min="3" max="4" width="9.140625" style="85"/>
    <col min="5" max="6" width="9.140625" style="106"/>
    <col min="7" max="7" width="10.42578125" style="108" bestFit="1" customWidth="1"/>
    <col min="8" max="8" width="11" bestFit="1" customWidth="1"/>
    <col min="12" max="12" width="9.42578125" bestFit="1" customWidth="1"/>
    <col min="14" max="14" width="10.42578125" bestFit="1" customWidth="1"/>
  </cols>
  <sheetData>
    <row r="1" spans="2:12" x14ac:dyDescent="0.25">
      <c r="B1">
        <f>COUNT(B3:B193)</f>
        <v>191</v>
      </c>
      <c r="E1" s="106">
        <f>SUM(E3:E274)</f>
        <v>190.07999999999979</v>
      </c>
      <c r="F1" s="106">
        <f>SUM(F3:F274)</f>
        <v>186.62399999999994</v>
      </c>
      <c r="G1" s="114">
        <f>SUBTOTAL(9,G3:G190)</f>
        <v>82.94</v>
      </c>
      <c r="H1" s="114"/>
      <c r="I1" s="114">
        <f>SUBTOTAL(9,I3:I190)</f>
        <v>7943.9000000000042</v>
      </c>
    </row>
    <row r="2" spans="2:12" x14ac:dyDescent="0.25">
      <c r="B2" s="103"/>
      <c r="C2" s="105"/>
      <c r="D2" s="105"/>
      <c r="E2" s="109"/>
      <c r="F2" s="109"/>
      <c r="G2" s="107"/>
      <c r="H2" s="103"/>
      <c r="I2" s="103"/>
      <c r="J2" s="103"/>
    </row>
    <row r="3" spans="2:12" x14ac:dyDescent="0.25">
      <c r="B3" s="103">
        <v>165</v>
      </c>
      <c r="C3" s="105">
        <v>9</v>
      </c>
      <c r="D3" s="105" t="b">
        <f t="shared" ref="D3:D16" si="0">C4=C3</f>
        <v>0</v>
      </c>
      <c r="E3" s="103">
        <v>1.44</v>
      </c>
      <c r="F3" s="124">
        <f t="shared" ref="F3:F34" si="1">E3*E4</f>
        <v>0</v>
      </c>
      <c r="G3" s="103"/>
      <c r="H3" s="103"/>
      <c r="I3" s="103"/>
      <c r="J3" s="103"/>
    </row>
    <row r="4" spans="2:12" x14ac:dyDescent="0.25">
      <c r="B4" s="103">
        <v>166</v>
      </c>
      <c r="C4" s="105">
        <v>3.2</v>
      </c>
      <c r="D4" s="105" t="b">
        <f t="shared" si="0"/>
        <v>0</v>
      </c>
      <c r="E4" s="103"/>
      <c r="F4" s="124">
        <f t="shared" si="1"/>
        <v>0</v>
      </c>
      <c r="G4" s="127"/>
      <c r="H4" s="103"/>
      <c r="I4" s="103"/>
      <c r="J4" s="103"/>
    </row>
    <row r="5" spans="2:12" x14ac:dyDescent="0.25">
      <c r="B5" s="103">
        <v>167</v>
      </c>
      <c r="C5" s="105">
        <v>7.1</v>
      </c>
      <c r="D5" s="105" t="b">
        <f t="shared" si="0"/>
        <v>0</v>
      </c>
      <c r="E5" s="103">
        <v>1.44</v>
      </c>
      <c r="F5" s="124">
        <f t="shared" si="1"/>
        <v>2.0735999999999999</v>
      </c>
      <c r="G5" s="103"/>
      <c r="H5" s="103"/>
      <c r="I5" s="103"/>
      <c r="J5" s="103"/>
    </row>
    <row r="6" spans="2:12" x14ac:dyDescent="0.25">
      <c r="B6" s="103">
        <v>168</v>
      </c>
      <c r="C6" s="105">
        <v>9.1</v>
      </c>
      <c r="D6" s="105" t="b">
        <f t="shared" si="0"/>
        <v>0</v>
      </c>
      <c r="E6" s="103">
        <v>1.44</v>
      </c>
      <c r="F6" s="124">
        <f t="shared" si="1"/>
        <v>0</v>
      </c>
      <c r="G6" s="103">
        <v>2.86</v>
      </c>
      <c r="H6" s="123"/>
      <c r="I6" s="127">
        <f>185*G6-185</f>
        <v>344.1</v>
      </c>
      <c r="J6" s="103"/>
      <c r="L6" s="82"/>
    </row>
    <row r="7" spans="2:12" x14ac:dyDescent="0.25">
      <c r="B7" s="103">
        <v>169</v>
      </c>
      <c r="C7" s="105">
        <v>3.2</v>
      </c>
      <c r="D7" s="105" t="b">
        <f t="shared" si="0"/>
        <v>0</v>
      </c>
      <c r="E7" s="103"/>
      <c r="F7" s="124">
        <f t="shared" si="1"/>
        <v>0</v>
      </c>
      <c r="G7" s="103"/>
      <c r="H7" s="103"/>
      <c r="I7" s="103"/>
      <c r="J7" s="103"/>
    </row>
    <row r="8" spans="2:12" x14ac:dyDescent="0.25">
      <c r="B8" s="103">
        <v>171</v>
      </c>
      <c r="C8" s="105">
        <v>6.1</v>
      </c>
      <c r="D8" s="105" t="b">
        <f t="shared" si="0"/>
        <v>0</v>
      </c>
      <c r="E8" s="103">
        <v>1.44</v>
      </c>
      <c r="F8" s="124">
        <f t="shared" si="1"/>
        <v>0</v>
      </c>
      <c r="G8" s="103"/>
      <c r="H8" s="103"/>
      <c r="I8" s="103"/>
      <c r="J8" s="103"/>
    </row>
    <row r="9" spans="2:12" x14ac:dyDescent="0.25">
      <c r="B9" s="103">
        <v>172</v>
      </c>
      <c r="C9" s="105">
        <v>3.2</v>
      </c>
      <c r="D9" s="105" t="b">
        <f t="shared" si="0"/>
        <v>0</v>
      </c>
      <c r="E9" s="103"/>
      <c r="F9" s="124">
        <f t="shared" si="1"/>
        <v>0</v>
      </c>
      <c r="G9" s="126">
        <v>0</v>
      </c>
      <c r="H9" s="125"/>
      <c r="I9" s="127">
        <f>185*G9-185</f>
        <v>-185</v>
      </c>
      <c r="J9" s="103"/>
      <c r="L9" s="89"/>
    </row>
    <row r="10" spans="2:12" x14ac:dyDescent="0.25">
      <c r="B10" s="103">
        <v>174</v>
      </c>
      <c r="C10" s="105">
        <v>6.1</v>
      </c>
      <c r="D10" s="105" t="b">
        <f t="shared" si="0"/>
        <v>0</v>
      </c>
      <c r="E10" s="103">
        <v>1.44</v>
      </c>
      <c r="F10" s="124">
        <f t="shared" si="1"/>
        <v>0</v>
      </c>
      <c r="G10" s="103"/>
      <c r="H10" s="103"/>
      <c r="I10" s="103"/>
      <c r="J10" s="103"/>
    </row>
    <row r="11" spans="2:12" x14ac:dyDescent="0.25">
      <c r="B11" s="103">
        <v>175</v>
      </c>
      <c r="C11" s="105">
        <v>3.2</v>
      </c>
      <c r="D11" s="105" t="b">
        <f t="shared" si="0"/>
        <v>0</v>
      </c>
      <c r="E11" s="103"/>
      <c r="F11" s="124">
        <f t="shared" si="1"/>
        <v>0</v>
      </c>
      <c r="G11" s="126">
        <v>0</v>
      </c>
      <c r="H11" s="103"/>
      <c r="I11" s="127">
        <f>185*G11-185</f>
        <v>-185</v>
      </c>
      <c r="J11" s="103"/>
    </row>
    <row r="12" spans="2:12" x14ac:dyDescent="0.25">
      <c r="B12" s="103">
        <v>176</v>
      </c>
      <c r="C12" s="105">
        <v>6.1</v>
      </c>
      <c r="D12" s="105" t="b">
        <f t="shared" si="0"/>
        <v>0</v>
      </c>
      <c r="E12" s="103">
        <v>1.44</v>
      </c>
      <c r="F12" s="124">
        <f t="shared" si="1"/>
        <v>2.0735999999999999</v>
      </c>
      <c r="G12" s="103"/>
      <c r="H12" s="103"/>
      <c r="I12" s="103"/>
      <c r="J12" s="103"/>
    </row>
    <row r="13" spans="2:12" x14ac:dyDescent="0.25">
      <c r="B13" s="103">
        <v>177</v>
      </c>
      <c r="C13" s="105">
        <v>9</v>
      </c>
      <c r="D13" s="105" t="b">
        <f t="shared" si="0"/>
        <v>0</v>
      </c>
      <c r="E13" s="103">
        <v>1.44</v>
      </c>
      <c r="F13" s="124">
        <f t="shared" si="1"/>
        <v>2.0735999999999999</v>
      </c>
      <c r="G13" s="103">
        <v>2.86</v>
      </c>
      <c r="H13" s="123"/>
      <c r="I13" s="127">
        <f>185*G13-185</f>
        <v>344.1</v>
      </c>
      <c r="J13" s="103"/>
    </row>
    <row r="14" spans="2:12" x14ac:dyDescent="0.25">
      <c r="B14" s="103">
        <v>178</v>
      </c>
      <c r="C14" s="105">
        <v>6.1</v>
      </c>
      <c r="D14" s="105" t="b">
        <f t="shared" si="0"/>
        <v>0</v>
      </c>
      <c r="E14" s="103">
        <v>1.44</v>
      </c>
      <c r="F14" s="124">
        <f t="shared" si="1"/>
        <v>2.0735999999999999</v>
      </c>
      <c r="G14" s="126"/>
      <c r="H14" s="126"/>
      <c r="I14" s="103"/>
      <c r="J14" s="103"/>
    </row>
    <row r="15" spans="2:12" x14ac:dyDescent="0.25">
      <c r="B15" s="103">
        <v>179</v>
      </c>
      <c r="C15" s="105">
        <v>5.9</v>
      </c>
      <c r="D15" s="105" t="b">
        <f t="shared" si="0"/>
        <v>0</v>
      </c>
      <c r="E15" s="103">
        <v>1.44</v>
      </c>
      <c r="F15" s="124">
        <f t="shared" si="1"/>
        <v>2.0735999999999999</v>
      </c>
      <c r="G15" s="126"/>
      <c r="H15" s="103"/>
      <c r="I15" s="103"/>
      <c r="J15" s="103"/>
    </row>
    <row r="16" spans="2:12" x14ac:dyDescent="0.25">
      <c r="B16" s="103">
        <v>180</v>
      </c>
      <c r="C16" s="105">
        <v>7.1</v>
      </c>
      <c r="D16" s="105" t="b">
        <f t="shared" si="0"/>
        <v>0</v>
      </c>
      <c r="E16" s="103">
        <v>1.44</v>
      </c>
      <c r="F16" s="124">
        <f t="shared" si="1"/>
        <v>0</v>
      </c>
      <c r="G16" s="126"/>
      <c r="H16" s="103"/>
      <c r="I16" s="103"/>
      <c r="J16" s="103"/>
    </row>
    <row r="17" spans="2:10" x14ac:dyDescent="0.25">
      <c r="B17" s="103">
        <v>181</v>
      </c>
      <c r="C17" s="105">
        <v>3.2</v>
      </c>
      <c r="D17" s="105"/>
      <c r="E17" s="103"/>
      <c r="F17" s="124">
        <f t="shared" si="1"/>
        <v>0</v>
      </c>
      <c r="G17" s="126"/>
      <c r="H17" s="103"/>
      <c r="I17" s="103"/>
      <c r="J17" s="103"/>
    </row>
    <row r="18" spans="2:10" x14ac:dyDescent="0.25">
      <c r="B18" s="103">
        <v>182</v>
      </c>
      <c r="C18" s="105">
        <v>3.2</v>
      </c>
      <c r="D18" s="105" t="b">
        <f t="shared" ref="D18:D26" si="2">C19=C18</f>
        <v>0</v>
      </c>
      <c r="E18" s="103"/>
      <c r="F18" s="124">
        <f t="shared" si="1"/>
        <v>0</v>
      </c>
      <c r="G18" s="103"/>
      <c r="H18" s="103"/>
      <c r="I18" s="103"/>
      <c r="J18" s="103"/>
    </row>
    <row r="19" spans="2:10" x14ac:dyDescent="0.25">
      <c r="B19" s="103">
        <v>183</v>
      </c>
      <c r="C19" s="105">
        <v>9.1</v>
      </c>
      <c r="D19" s="105" t="b">
        <f t="shared" si="2"/>
        <v>0</v>
      </c>
      <c r="E19" s="103">
        <v>1.44</v>
      </c>
      <c r="F19" s="124">
        <f t="shared" si="1"/>
        <v>0</v>
      </c>
      <c r="G19" s="103"/>
      <c r="H19" s="103"/>
      <c r="I19" s="103"/>
      <c r="J19" s="103"/>
    </row>
    <row r="20" spans="2:10" x14ac:dyDescent="0.25">
      <c r="B20" s="103">
        <v>184</v>
      </c>
      <c r="C20" s="105">
        <v>3.2</v>
      </c>
      <c r="D20" s="105" t="b">
        <f t="shared" si="2"/>
        <v>0</v>
      </c>
      <c r="E20" s="103"/>
      <c r="F20" s="124">
        <f t="shared" si="1"/>
        <v>0</v>
      </c>
      <c r="G20" s="126">
        <v>0</v>
      </c>
      <c r="H20" s="103"/>
      <c r="I20" s="127">
        <f>185*G20-185</f>
        <v>-185</v>
      </c>
      <c r="J20" s="103"/>
    </row>
    <row r="21" spans="2:10" x14ac:dyDescent="0.25">
      <c r="B21" s="103">
        <v>185</v>
      </c>
      <c r="C21" s="105">
        <v>9.1</v>
      </c>
      <c r="D21" s="105" t="b">
        <f t="shared" si="2"/>
        <v>0</v>
      </c>
      <c r="E21" s="103">
        <v>1.44</v>
      </c>
      <c r="F21" s="124">
        <f t="shared" si="1"/>
        <v>2.0735999999999999</v>
      </c>
      <c r="G21" s="103"/>
      <c r="H21" s="103"/>
      <c r="I21" s="103"/>
      <c r="J21" s="103"/>
    </row>
    <row r="22" spans="2:10" x14ac:dyDescent="0.25">
      <c r="B22" s="103">
        <v>186</v>
      </c>
      <c r="C22" s="105">
        <v>7.1</v>
      </c>
      <c r="D22" s="105" t="b">
        <f t="shared" si="2"/>
        <v>1</v>
      </c>
      <c r="E22" s="103">
        <v>1.44</v>
      </c>
      <c r="F22" s="124">
        <f t="shared" si="1"/>
        <v>2.0735999999999999</v>
      </c>
      <c r="G22" s="103">
        <v>2.86</v>
      </c>
      <c r="H22" s="103"/>
      <c r="I22" s="127">
        <f>185*G22-185</f>
        <v>344.1</v>
      </c>
      <c r="J22" s="103"/>
    </row>
    <row r="23" spans="2:10" x14ac:dyDescent="0.25">
      <c r="B23" s="103">
        <v>187</v>
      </c>
      <c r="C23" s="105">
        <v>7.1</v>
      </c>
      <c r="D23" s="105" t="b">
        <f t="shared" si="2"/>
        <v>0</v>
      </c>
      <c r="E23" s="103">
        <v>1.44</v>
      </c>
      <c r="F23" s="124">
        <f t="shared" si="1"/>
        <v>2.0735999999999999</v>
      </c>
      <c r="G23" s="126"/>
      <c r="H23" s="126"/>
      <c r="I23" s="103"/>
      <c r="J23" s="103"/>
    </row>
    <row r="24" spans="2:10" x14ac:dyDescent="0.25">
      <c r="B24" s="103">
        <v>188</v>
      </c>
      <c r="C24" s="105">
        <v>9.1</v>
      </c>
      <c r="D24" s="105" t="b">
        <f t="shared" si="2"/>
        <v>0</v>
      </c>
      <c r="E24" s="103">
        <v>1.44</v>
      </c>
      <c r="F24" s="124">
        <f t="shared" si="1"/>
        <v>2.0735999999999999</v>
      </c>
      <c r="G24" s="126"/>
      <c r="H24" s="103"/>
      <c r="I24" s="103"/>
      <c r="J24" s="103"/>
    </row>
    <row r="25" spans="2:10" x14ac:dyDescent="0.25">
      <c r="B25" s="103">
        <v>189</v>
      </c>
      <c r="C25" s="105">
        <v>5.9</v>
      </c>
      <c r="D25" s="105" t="b">
        <f t="shared" si="2"/>
        <v>0</v>
      </c>
      <c r="E25" s="103">
        <v>1.44</v>
      </c>
      <c r="F25" s="124">
        <f t="shared" si="1"/>
        <v>2.0735999999999999</v>
      </c>
      <c r="G25" s="126"/>
      <c r="H25" s="103"/>
      <c r="I25" s="103"/>
      <c r="J25" s="103"/>
    </row>
    <row r="26" spans="2:10" x14ac:dyDescent="0.25">
      <c r="B26" s="103">
        <v>190</v>
      </c>
      <c r="C26" s="105">
        <v>6.1</v>
      </c>
      <c r="D26" s="105" t="b">
        <f t="shared" si="2"/>
        <v>0</v>
      </c>
      <c r="E26" s="103">
        <v>1.44</v>
      </c>
      <c r="F26" s="124">
        <f t="shared" si="1"/>
        <v>0</v>
      </c>
      <c r="G26" s="126"/>
      <c r="H26" s="103"/>
      <c r="I26" s="103"/>
      <c r="J26" s="103"/>
    </row>
    <row r="27" spans="2:10" x14ac:dyDescent="0.25">
      <c r="B27" s="103">
        <v>191</v>
      </c>
      <c r="C27" s="105">
        <v>3.2</v>
      </c>
      <c r="D27" s="105"/>
      <c r="E27" s="103"/>
      <c r="F27" s="124">
        <f t="shared" si="1"/>
        <v>0</v>
      </c>
      <c r="G27" s="126"/>
      <c r="H27" s="103"/>
      <c r="I27" s="103"/>
      <c r="J27" s="103"/>
    </row>
    <row r="28" spans="2:10" x14ac:dyDescent="0.25">
      <c r="B28" s="103">
        <v>192</v>
      </c>
      <c r="C28" s="105">
        <v>3.2</v>
      </c>
      <c r="D28" s="105"/>
      <c r="E28" s="103"/>
      <c r="F28" s="124">
        <f t="shared" si="1"/>
        <v>0</v>
      </c>
      <c r="G28" s="103"/>
      <c r="H28" s="103"/>
      <c r="I28" s="103"/>
      <c r="J28" s="103"/>
    </row>
    <row r="29" spans="2:10" x14ac:dyDescent="0.25">
      <c r="B29" s="103">
        <v>193</v>
      </c>
      <c r="C29" s="105">
        <v>3.2</v>
      </c>
      <c r="D29" s="105"/>
      <c r="E29" s="103"/>
      <c r="F29" s="124">
        <f t="shared" si="1"/>
        <v>0</v>
      </c>
      <c r="G29" s="103"/>
      <c r="H29" s="103"/>
      <c r="I29" s="103"/>
      <c r="J29" s="103"/>
    </row>
    <row r="30" spans="2:10" x14ac:dyDescent="0.25">
      <c r="B30" s="103">
        <v>195</v>
      </c>
      <c r="C30" s="105">
        <v>3.2</v>
      </c>
      <c r="D30" s="105"/>
      <c r="E30" s="103"/>
      <c r="F30" s="124">
        <f t="shared" si="1"/>
        <v>0</v>
      </c>
      <c r="G30" s="103"/>
      <c r="H30" s="103"/>
      <c r="I30" s="103"/>
      <c r="J30" s="103"/>
    </row>
    <row r="31" spans="2:10" x14ac:dyDescent="0.25">
      <c r="B31" s="103">
        <v>196</v>
      </c>
      <c r="C31" s="105">
        <v>3.2</v>
      </c>
      <c r="D31" s="105" t="b">
        <f t="shared" ref="D31:D40" si="3">C32=C31</f>
        <v>0</v>
      </c>
      <c r="E31" s="103"/>
      <c r="F31" s="124">
        <f t="shared" si="1"/>
        <v>0</v>
      </c>
      <c r="G31" s="103"/>
      <c r="H31" s="103"/>
      <c r="I31" s="103"/>
      <c r="J31" s="103"/>
    </row>
    <row r="32" spans="2:10" x14ac:dyDescent="0.25">
      <c r="B32" s="103">
        <v>197</v>
      </c>
      <c r="C32" s="105">
        <v>5.9</v>
      </c>
      <c r="D32" s="105" t="b">
        <f t="shared" si="3"/>
        <v>1</v>
      </c>
      <c r="E32" s="103">
        <v>1.44</v>
      </c>
      <c r="F32" s="124">
        <f t="shared" si="1"/>
        <v>2.0735999999999999</v>
      </c>
      <c r="G32" s="103"/>
      <c r="H32" s="103"/>
      <c r="I32" s="103"/>
      <c r="J32" s="103"/>
    </row>
    <row r="33" spans="2:13" x14ac:dyDescent="0.25">
      <c r="B33" s="103">
        <v>198</v>
      </c>
      <c r="C33" s="105">
        <v>5.9</v>
      </c>
      <c r="D33" s="105" t="b">
        <f t="shared" si="3"/>
        <v>0</v>
      </c>
      <c r="E33" s="103">
        <v>1.44</v>
      </c>
      <c r="F33" s="124">
        <f t="shared" si="1"/>
        <v>2.0735999999999999</v>
      </c>
      <c r="G33" s="103">
        <v>2.86</v>
      </c>
      <c r="H33" s="103"/>
      <c r="I33" s="127">
        <f>185*G33-185</f>
        <v>344.1</v>
      </c>
      <c r="J33" s="103"/>
    </row>
    <row r="34" spans="2:13" x14ac:dyDescent="0.25">
      <c r="B34" s="103">
        <v>199</v>
      </c>
      <c r="C34" s="105">
        <v>6.1</v>
      </c>
      <c r="D34" s="105" t="b">
        <f t="shared" si="3"/>
        <v>0</v>
      </c>
      <c r="E34" s="103">
        <v>1.44</v>
      </c>
      <c r="F34" s="124">
        <f t="shared" si="1"/>
        <v>2.0735999999999999</v>
      </c>
      <c r="G34" s="126"/>
      <c r="H34" s="126"/>
      <c r="I34" s="103"/>
      <c r="J34" s="103"/>
    </row>
    <row r="35" spans="2:13" x14ac:dyDescent="0.25">
      <c r="B35" s="103">
        <v>200</v>
      </c>
      <c r="C35" s="105">
        <v>5.9</v>
      </c>
      <c r="D35" s="105" t="b">
        <f t="shared" si="3"/>
        <v>1</v>
      </c>
      <c r="E35" s="103">
        <v>1.44</v>
      </c>
      <c r="F35" s="124">
        <f t="shared" ref="F35:F66" si="4">E35*E36</f>
        <v>2.0735999999999999</v>
      </c>
      <c r="G35" s="126"/>
      <c r="H35" s="103"/>
      <c r="I35" s="103"/>
      <c r="J35" s="103"/>
    </row>
    <row r="36" spans="2:13" x14ac:dyDescent="0.25">
      <c r="B36" s="103">
        <v>201</v>
      </c>
      <c r="C36" s="105">
        <v>5.9</v>
      </c>
      <c r="D36" s="105" t="b">
        <f t="shared" si="3"/>
        <v>0</v>
      </c>
      <c r="E36" s="103">
        <v>1.44</v>
      </c>
      <c r="F36" s="124">
        <f t="shared" si="4"/>
        <v>2.0735999999999999</v>
      </c>
      <c r="G36" s="126"/>
      <c r="H36" s="103"/>
      <c r="I36" s="103"/>
      <c r="J36" s="103"/>
    </row>
    <row r="37" spans="2:13" x14ac:dyDescent="0.25">
      <c r="B37" s="103">
        <v>202</v>
      </c>
      <c r="C37" s="105">
        <v>9.1</v>
      </c>
      <c r="D37" s="105" t="b">
        <f t="shared" si="3"/>
        <v>0</v>
      </c>
      <c r="E37" s="103">
        <v>1.44</v>
      </c>
      <c r="F37" s="124">
        <f t="shared" si="4"/>
        <v>2.0735999999999999</v>
      </c>
      <c r="G37" s="126"/>
      <c r="H37" s="103"/>
      <c r="I37" s="103"/>
      <c r="J37" s="103"/>
    </row>
    <row r="38" spans="2:13" x14ac:dyDescent="0.25">
      <c r="B38" s="103">
        <v>203</v>
      </c>
      <c r="C38" s="105">
        <v>7.1</v>
      </c>
      <c r="D38" s="105" t="b">
        <f t="shared" si="3"/>
        <v>0</v>
      </c>
      <c r="E38" s="103">
        <v>1.44</v>
      </c>
      <c r="F38" s="124">
        <f t="shared" si="4"/>
        <v>2.0735999999999999</v>
      </c>
      <c r="G38" s="126"/>
      <c r="H38" s="103"/>
      <c r="I38" s="103"/>
      <c r="J38" s="103"/>
      <c r="L38">
        <v>2.56</v>
      </c>
      <c r="M38">
        <v>3.22</v>
      </c>
    </row>
    <row r="39" spans="2:13" x14ac:dyDescent="0.25">
      <c r="B39" s="103">
        <v>204</v>
      </c>
      <c r="C39" s="105">
        <v>5.9</v>
      </c>
      <c r="D39" s="105" t="b">
        <f t="shared" si="3"/>
        <v>0</v>
      </c>
      <c r="E39" s="103">
        <v>1.44</v>
      </c>
      <c r="F39" s="124">
        <f t="shared" si="4"/>
        <v>2.0735999999999999</v>
      </c>
      <c r="G39" s="126"/>
      <c r="H39" s="103"/>
      <c r="I39" s="103"/>
      <c r="J39" s="103"/>
      <c r="L39">
        <v>1.44</v>
      </c>
      <c r="M39">
        <v>3.2</v>
      </c>
    </row>
    <row r="40" spans="2:13" x14ac:dyDescent="0.25">
      <c r="B40" s="103">
        <v>205</v>
      </c>
      <c r="C40" s="105">
        <v>9</v>
      </c>
      <c r="D40" s="105" t="b">
        <f t="shared" si="3"/>
        <v>0</v>
      </c>
      <c r="E40" s="103">
        <v>1.44</v>
      </c>
      <c r="F40" s="124">
        <f t="shared" si="4"/>
        <v>0</v>
      </c>
      <c r="G40" s="126"/>
      <c r="H40" s="103"/>
      <c r="I40" s="103"/>
      <c r="J40" s="103"/>
    </row>
    <row r="41" spans="2:13" x14ac:dyDescent="0.25">
      <c r="B41" s="103">
        <v>206</v>
      </c>
      <c r="C41" s="105">
        <v>3.2</v>
      </c>
      <c r="D41" s="105"/>
      <c r="E41" s="103"/>
      <c r="F41" s="124">
        <f t="shared" si="4"/>
        <v>0</v>
      </c>
      <c r="G41" s="126"/>
      <c r="H41" s="103"/>
      <c r="I41" s="103"/>
      <c r="J41" s="103"/>
      <c r="L41" s="81">
        <f>3.22</f>
        <v>3.22</v>
      </c>
    </row>
    <row r="42" spans="2:13" x14ac:dyDescent="0.25">
      <c r="B42" s="103">
        <v>207</v>
      </c>
      <c r="C42" s="105">
        <v>3.2</v>
      </c>
      <c r="D42" s="105" t="b">
        <f t="shared" ref="D42:D49" si="5">C43=C42</f>
        <v>0</v>
      </c>
      <c r="E42" s="103"/>
      <c r="F42" s="124">
        <f t="shared" si="4"/>
        <v>0</v>
      </c>
      <c r="G42" s="103"/>
      <c r="H42" s="103"/>
      <c r="I42" s="103"/>
      <c r="J42" s="103"/>
      <c r="L42" s="81">
        <f>L38*L39</f>
        <v>3.6863999999999999</v>
      </c>
    </row>
    <row r="43" spans="2:13" x14ac:dyDescent="0.25">
      <c r="B43" s="103">
        <v>208</v>
      </c>
      <c r="C43" s="105">
        <v>5.9</v>
      </c>
      <c r="D43" s="105" t="b">
        <f t="shared" si="5"/>
        <v>0</v>
      </c>
      <c r="E43" s="103">
        <v>1.44</v>
      </c>
      <c r="F43" s="124">
        <f t="shared" si="4"/>
        <v>0</v>
      </c>
      <c r="G43" s="103"/>
      <c r="H43" s="103"/>
      <c r="I43" s="103"/>
      <c r="J43" s="103"/>
      <c r="L43" s="81">
        <f>L38*M39</f>
        <v>8.1920000000000002</v>
      </c>
    </row>
    <row r="44" spans="2:13" x14ac:dyDescent="0.25">
      <c r="B44" s="103">
        <v>209</v>
      </c>
      <c r="C44" s="105">
        <v>3.2</v>
      </c>
      <c r="D44" s="105" t="b">
        <f t="shared" si="5"/>
        <v>0</v>
      </c>
      <c r="E44" s="103"/>
      <c r="F44" s="124">
        <f t="shared" si="4"/>
        <v>0</v>
      </c>
      <c r="G44" s="126">
        <v>0</v>
      </c>
      <c r="H44" s="125"/>
      <c r="I44" s="127">
        <f>185*G44-185</f>
        <v>-185</v>
      </c>
      <c r="J44" s="103"/>
    </row>
    <row r="45" spans="2:13" x14ac:dyDescent="0.25">
      <c r="B45" s="103">
        <v>210</v>
      </c>
      <c r="C45" s="105">
        <v>5.9</v>
      </c>
      <c r="D45" s="105" t="b">
        <f t="shared" si="5"/>
        <v>0</v>
      </c>
      <c r="E45" s="103">
        <v>1.44</v>
      </c>
      <c r="F45" s="124">
        <f t="shared" si="4"/>
        <v>0</v>
      </c>
      <c r="G45" s="103"/>
      <c r="H45" s="103"/>
      <c r="I45" s="103"/>
      <c r="J45" s="103"/>
    </row>
    <row r="46" spans="2:13" x14ac:dyDescent="0.25">
      <c r="B46" s="103">
        <v>211</v>
      </c>
      <c r="C46" s="105">
        <v>3.2</v>
      </c>
      <c r="D46" s="105" t="b">
        <f t="shared" si="5"/>
        <v>0</v>
      </c>
      <c r="E46" s="103"/>
      <c r="F46" s="124">
        <f t="shared" si="4"/>
        <v>0</v>
      </c>
      <c r="G46" s="126">
        <v>0</v>
      </c>
      <c r="H46" s="103"/>
      <c r="I46" s="127">
        <f>185*G46-185</f>
        <v>-185</v>
      </c>
      <c r="J46" s="103"/>
    </row>
    <row r="47" spans="2:13" x14ac:dyDescent="0.25">
      <c r="B47" s="103">
        <v>212</v>
      </c>
      <c r="C47" s="105">
        <v>6.1</v>
      </c>
      <c r="D47" s="105" t="b">
        <f t="shared" si="5"/>
        <v>0</v>
      </c>
      <c r="E47" s="103">
        <v>1.44</v>
      </c>
      <c r="F47" s="124">
        <f t="shared" si="4"/>
        <v>2.0735999999999999</v>
      </c>
      <c r="G47" s="105"/>
      <c r="H47" s="103"/>
      <c r="I47" s="103"/>
      <c r="J47" s="103"/>
    </row>
    <row r="48" spans="2:13" x14ac:dyDescent="0.25">
      <c r="B48" s="103">
        <v>213</v>
      </c>
      <c r="C48" s="105">
        <v>7.1</v>
      </c>
      <c r="D48" s="105" t="b">
        <f t="shared" si="5"/>
        <v>1</v>
      </c>
      <c r="E48" s="103">
        <v>1.44</v>
      </c>
      <c r="F48" s="124">
        <f t="shared" si="4"/>
        <v>2.0735999999999999</v>
      </c>
      <c r="G48" s="103">
        <v>2.86</v>
      </c>
      <c r="H48" s="103"/>
      <c r="I48" s="127">
        <f>185*G48-185</f>
        <v>344.1</v>
      </c>
      <c r="J48" s="103"/>
    </row>
    <row r="49" spans="2:14" x14ac:dyDescent="0.25">
      <c r="B49" s="103">
        <v>214</v>
      </c>
      <c r="C49" s="105">
        <v>7.1</v>
      </c>
      <c r="D49" s="105" t="b">
        <f t="shared" si="5"/>
        <v>0</v>
      </c>
      <c r="E49" s="103">
        <v>1.44</v>
      </c>
      <c r="F49" s="124">
        <f t="shared" si="4"/>
        <v>0</v>
      </c>
      <c r="G49" s="126"/>
      <c r="H49" s="126"/>
      <c r="I49" s="103"/>
      <c r="J49" s="103"/>
    </row>
    <row r="50" spans="2:14" x14ac:dyDescent="0.25">
      <c r="B50" s="103">
        <v>215</v>
      </c>
      <c r="C50" s="105">
        <v>3.2</v>
      </c>
      <c r="D50" s="105"/>
      <c r="E50" s="103"/>
      <c r="F50" s="124">
        <f t="shared" si="4"/>
        <v>0</v>
      </c>
      <c r="G50" s="126"/>
      <c r="H50" s="103"/>
      <c r="I50" s="103"/>
      <c r="J50" s="103"/>
    </row>
    <row r="51" spans="2:14" x14ac:dyDescent="0.25">
      <c r="B51" s="103">
        <v>216</v>
      </c>
      <c r="C51" s="105">
        <v>3.2</v>
      </c>
      <c r="D51" s="105"/>
      <c r="E51" s="103"/>
      <c r="F51" s="124">
        <f t="shared" si="4"/>
        <v>0</v>
      </c>
      <c r="G51" s="103"/>
      <c r="H51" s="103"/>
      <c r="I51" s="103"/>
      <c r="J51" s="103"/>
    </row>
    <row r="52" spans="2:14" x14ac:dyDescent="0.25">
      <c r="B52" s="103">
        <v>217</v>
      </c>
      <c r="C52" s="105">
        <v>3.2</v>
      </c>
      <c r="D52" s="105" t="b">
        <f>C53=C52</f>
        <v>0</v>
      </c>
      <c r="E52" s="103"/>
      <c r="F52" s="124">
        <f t="shared" si="4"/>
        <v>0</v>
      </c>
      <c r="G52" s="103"/>
      <c r="H52" s="103"/>
      <c r="I52" s="103"/>
      <c r="J52" s="103"/>
    </row>
    <row r="53" spans="2:14" x14ac:dyDescent="0.25">
      <c r="B53" s="103">
        <v>218</v>
      </c>
      <c r="C53" s="105">
        <v>5.9</v>
      </c>
      <c r="D53" s="105" t="b">
        <f>C54=C53</f>
        <v>0</v>
      </c>
      <c r="E53" s="103">
        <v>1.44</v>
      </c>
      <c r="F53" s="124">
        <f t="shared" si="4"/>
        <v>0</v>
      </c>
      <c r="G53" s="103"/>
      <c r="H53" s="103"/>
      <c r="I53" s="103"/>
      <c r="J53" s="103"/>
    </row>
    <row r="54" spans="2:14" x14ac:dyDescent="0.25">
      <c r="B54" s="103">
        <v>219</v>
      </c>
      <c r="C54" s="105">
        <v>3.2</v>
      </c>
      <c r="D54" s="105" t="b">
        <f>C55=C54</f>
        <v>0</v>
      </c>
      <c r="E54" s="103"/>
      <c r="F54" s="124">
        <f t="shared" si="4"/>
        <v>0</v>
      </c>
      <c r="G54" s="126">
        <v>0</v>
      </c>
      <c r="H54" s="125"/>
      <c r="I54" s="127">
        <f>185*G54-185</f>
        <v>-185</v>
      </c>
      <c r="J54" s="103"/>
    </row>
    <row r="55" spans="2:14" x14ac:dyDescent="0.25">
      <c r="B55" s="103">
        <v>220</v>
      </c>
      <c r="C55" s="105">
        <v>7.1</v>
      </c>
      <c r="D55" s="105" t="b">
        <f>C56=C55</f>
        <v>0</v>
      </c>
      <c r="E55" s="103">
        <v>1.44</v>
      </c>
      <c r="F55" s="124">
        <f t="shared" si="4"/>
        <v>0</v>
      </c>
      <c r="G55" s="103"/>
      <c r="H55" s="103"/>
      <c r="I55" s="103"/>
      <c r="J55" s="103"/>
    </row>
    <row r="56" spans="2:14" x14ac:dyDescent="0.25">
      <c r="B56" s="103">
        <v>221</v>
      </c>
      <c r="C56" s="105">
        <v>3.2</v>
      </c>
      <c r="D56" s="105"/>
      <c r="E56" s="103"/>
      <c r="F56" s="124">
        <f t="shared" si="4"/>
        <v>0</v>
      </c>
      <c r="G56" s="126">
        <v>0</v>
      </c>
      <c r="H56" s="103"/>
      <c r="I56" s="127">
        <f>185*G56-185</f>
        <v>-185</v>
      </c>
      <c r="J56" s="103"/>
      <c r="M56" s="89"/>
      <c r="N56" s="89"/>
    </row>
    <row r="57" spans="2:14" x14ac:dyDescent="0.25">
      <c r="B57" s="103">
        <v>222</v>
      </c>
      <c r="C57" s="105">
        <v>3.2</v>
      </c>
      <c r="D57" s="105" t="b">
        <f t="shared" ref="D57:D68" si="6">C58=C57</f>
        <v>0</v>
      </c>
      <c r="E57" s="103"/>
      <c r="F57" s="124">
        <f t="shared" si="4"/>
        <v>0</v>
      </c>
      <c r="G57" s="103"/>
      <c r="H57" s="103"/>
      <c r="I57" s="103"/>
      <c r="J57" s="103"/>
    </row>
    <row r="58" spans="2:14" x14ac:dyDescent="0.25">
      <c r="B58" s="103">
        <v>223</v>
      </c>
      <c r="C58" s="105">
        <v>9</v>
      </c>
      <c r="D58" s="105" t="b">
        <f t="shared" si="6"/>
        <v>1</v>
      </c>
      <c r="E58" s="103">
        <v>1.44</v>
      </c>
      <c r="F58" s="124">
        <f t="shared" si="4"/>
        <v>2.0735999999999999</v>
      </c>
      <c r="G58" s="103"/>
      <c r="H58" s="103"/>
      <c r="I58" s="103"/>
      <c r="J58" s="103"/>
    </row>
    <row r="59" spans="2:14" x14ac:dyDescent="0.25">
      <c r="B59" s="103">
        <v>224</v>
      </c>
      <c r="C59" s="105">
        <v>9</v>
      </c>
      <c r="D59" s="105" t="b">
        <f t="shared" si="6"/>
        <v>0</v>
      </c>
      <c r="E59" s="103">
        <v>1.44</v>
      </c>
      <c r="F59" s="124">
        <f t="shared" si="4"/>
        <v>2.0735999999999999</v>
      </c>
      <c r="G59" s="103">
        <v>2.86</v>
      </c>
      <c r="H59" s="103"/>
      <c r="I59" s="127">
        <f>185*G59-185</f>
        <v>344.1</v>
      </c>
      <c r="J59" s="103"/>
    </row>
    <row r="60" spans="2:14" x14ac:dyDescent="0.25">
      <c r="B60" s="103">
        <v>225</v>
      </c>
      <c r="C60" s="105">
        <v>5.9</v>
      </c>
      <c r="D60" s="105" t="b">
        <f t="shared" si="6"/>
        <v>1</v>
      </c>
      <c r="E60" s="103">
        <v>1.44</v>
      </c>
      <c r="F60" s="124">
        <f t="shared" si="4"/>
        <v>2.0735999999999999</v>
      </c>
      <c r="G60" s="126"/>
      <c r="H60" s="126"/>
      <c r="I60" s="103"/>
      <c r="J60" s="103"/>
    </row>
    <row r="61" spans="2:14" x14ac:dyDescent="0.25">
      <c r="B61" s="103">
        <v>226</v>
      </c>
      <c r="C61" s="105">
        <v>5.9</v>
      </c>
      <c r="D61" s="105" t="b">
        <f t="shared" si="6"/>
        <v>0</v>
      </c>
      <c r="E61" s="103">
        <v>1.44</v>
      </c>
      <c r="F61" s="124">
        <f t="shared" si="4"/>
        <v>2.0735999999999999</v>
      </c>
      <c r="G61" s="126"/>
      <c r="H61" s="103"/>
      <c r="I61" s="103"/>
      <c r="J61" s="103"/>
    </row>
    <row r="62" spans="2:14" x14ac:dyDescent="0.25">
      <c r="B62" s="103">
        <v>227</v>
      </c>
      <c r="C62" s="105">
        <v>6.1</v>
      </c>
      <c r="D62" s="105" t="b">
        <f t="shared" si="6"/>
        <v>0</v>
      </c>
      <c r="E62" s="103">
        <v>1.44</v>
      </c>
      <c r="F62" s="124">
        <f t="shared" si="4"/>
        <v>0</v>
      </c>
      <c r="G62" s="126"/>
      <c r="H62" s="103"/>
      <c r="I62" s="103"/>
      <c r="J62" s="103"/>
    </row>
    <row r="63" spans="2:14" x14ac:dyDescent="0.25">
      <c r="B63" s="103">
        <v>228</v>
      </c>
      <c r="C63" s="105">
        <v>3.2</v>
      </c>
      <c r="D63" s="105" t="b">
        <f t="shared" si="6"/>
        <v>0</v>
      </c>
      <c r="E63" s="103"/>
      <c r="F63" s="124">
        <f t="shared" si="4"/>
        <v>0</v>
      </c>
      <c r="G63" s="126"/>
      <c r="H63" s="103"/>
      <c r="I63" s="103"/>
      <c r="J63" s="103"/>
    </row>
    <row r="64" spans="2:14" x14ac:dyDescent="0.25">
      <c r="B64" s="103">
        <v>229</v>
      </c>
      <c r="C64" s="105">
        <v>5.9</v>
      </c>
      <c r="D64" s="105" t="b">
        <f t="shared" si="6"/>
        <v>0</v>
      </c>
      <c r="E64" s="103">
        <v>1.44</v>
      </c>
      <c r="F64" s="124">
        <f t="shared" si="4"/>
        <v>2.0735999999999999</v>
      </c>
      <c r="G64" s="103"/>
      <c r="H64" s="103"/>
      <c r="I64" s="103"/>
      <c r="J64" s="103"/>
    </row>
    <row r="65" spans="2:10" x14ac:dyDescent="0.25">
      <c r="B65" s="103">
        <v>230</v>
      </c>
      <c r="C65" s="105">
        <v>6.1</v>
      </c>
      <c r="D65" s="105" t="b">
        <f t="shared" si="6"/>
        <v>0</v>
      </c>
      <c r="E65" s="103">
        <v>1.44</v>
      </c>
      <c r="F65" s="124">
        <f t="shared" si="4"/>
        <v>2.0735999999999999</v>
      </c>
      <c r="G65" s="103">
        <v>2.86</v>
      </c>
      <c r="H65" s="103"/>
      <c r="I65" s="127">
        <f>185*G65-185</f>
        <v>344.1</v>
      </c>
      <c r="J65" s="103"/>
    </row>
    <row r="66" spans="2:10" x14ac:dyDescent="0.25">
      <c r="B66" s="103">
        <v>231</v>
      </c>
      <c r="C66" s="105">
        <v>9.1</v>
      </c>
      <c r="D66" s="105" t="b">
        <f t="shared" si="6"/>
        <v>1</v>
      </c>
      <c r="E66" s="103">
        <v>1.44</v>
      </c>
      <c r="F66" s="124">
        <f t="shared" si="4"/>
        <v>2.0735999999999999</v>
      </c>
      <c r="G66" s="126"/>
      <c r="H66" s="126"/>
      <c r="I66" s="103"/>
      <c r="J66" s="103"/>
    </row>
    <row r="67" spans="2:10" x14ac:dyDescent="0.25">
      <c r="B67" s="103">
        <v>232</v>
      </c>
      <c r="C67" s="105">
        <v>9.1</v>
      </c>
      <c r="D67" s="105" t="b">
        <f t="shared" si="6"/>
        <v>1</v>
      </c>
      <c r="E67" s="103">
        <v>1.44</v>
      </c>
      <c r="F67" s="124">
        <f t="shared" ref="F67:F98" si="7">E67*E68</f>
        <v>2.0735999999999999</v>
      </c>
      <c r="G67" s="126"/>
      <c r="H67" s="103"/>
      <c r="I67" s="103"/>
      <c r="J67" s="103"/>
    </row>
    <row r="68" spans="2:10" x14ac:dyDescent="0.25">
      <c r="B68" s="103">
        <v>233</v>
      </c>
      <c r="C68" s="105">
        <v>9.1</v>
      </c>
      <c r="D68" s="105" t="b">
        <f t="shared" si="6"/>
        <v>0</v>
      </c>
      <c r="E68" s="103">
        <v>1.44</v>
      </c>
      <c r="F68" s="124">
        <f t="shared" si="7"/>
        <v>0</v>
      </c>
      <c r="G68" s="126"/>
      <c r="H68" s="103"/>
      <c r="I68" s="103"/>
      <c r="J68" s="103"/>
    </row>
    <row r="69" spans="2:10" x14ac:dyDescent="0.25">
      <c r="B69" s="103">
        <v>234</v>
      </c>
      <c r="C69" s="105">
        <v>3.2</v>
      </c>
      <c r="D69" s="105"/>
      <c r="E69" s="103"/>
      <c r="F69" s="124">
        <f t="shared" si="7"/>
        <v>0</v>
      </c>
      <c r="G69" s="126"/>
      <c r="H69" s="103"/>
      <c r="I69" s="103"/>
      <c r="J69" s="103"/>
    </row>
    <row r="70" spans="2:10" x14ac:dyDescent="0.25">
      <c r="B70" s="103">
        <v>235</v>
      </c>
      <c r="C70" s="105">
        <v>3.2</v>
      </c>
      <c r="D70" s="105" t="b">
        <f t="shared" ref="D70:D89" si="8">C71=C70</f>
        <v>0</v>
      </c>
      <c r="E70" s="103"/>
      <c r="F70" s="124">
        <f t="shared" si="7"/>
        <v>0</v>
      </c>
      <c r="G70" s="103"/>
      <c r="H70" s="103"/>
      <c r="I70" s="103"/>
      <c r="J70" s="103"/>
    </row>
    <row r="71" spans="2:10" x14ac:dyDescent="0.25">
      <c r="B71" s="103">
        <v>236</v>
      </c>
      <c r="C71" s="105">
        <v>6.1</v>
      </c>
      <c r="D71" s="105" t="b">
        <f t="shared" si="8"/>
        <v>1</v>
      </c>
      <c r="E71" s="103">
        <v>1.44</v>
      </c>
      <c r="F71" s="124">
        <f t="shared" si="7"/>
        <v>2.0735999999999999</v>
      </c>
      <c r="G71" s="103"/>
      <c r="H71" s="103"/>
      <c r="I71" s="103"/>
      <c r="J71" s="103"/>
    </row>
    <row r="72" spans="2:10" x14ac:dyDescent="0.25">
      <c r="B72" s="103">
        <v>237</v>
      </c>
      <c r="C72" s="105">
        <v>6.1</v>
      </c>
      <c r="D72" s="105" t="b">
        <f t="shared" si="8"/>
        <v>0</v>
      </c>
      <c r="E72" s="103">
        <v>1.44</v>
      </c>
      <c r="F72" s="124">
        <f t="shared" si="7"/>
        <v>2.0735999999999999</v>
      </c>
      <c r="G72" s="103">
        <v>2.86</v>
      </c>
      <c r="H72" s="103"/>
      <c r="I72" s="127">
        <f>185*G72-185</f>
        <v>344.1</v>
      </c>
      <c r="J72" s="103"/>
    </row>
    <row r="73" spans="2:10" x14ac:dyDescent="0.25">
      <c r="B73" s="103">
        <v>238</v>
      </c>
      <c r="C73" s="105">
        <v>5.9</v>
      </c>
      <c r="D73" s="105" t="b">
        <f t="shared" si="8"/>
        <v>0</v>
      </c>
      <c r="E73" s="103">
        <v>1.44</v>
      </c>
      <c r="F73" s="124">
        <f t="shared" si="7"/>
        <v>0</v>
      </c>
      <c r="G73" s="126"/>
      <c r="H73" s="126"/>
      <c r="I73" s="103"/>
      <c r="J73" s="103"/>
    </row>
    <row r="74" spans="2:10" x14ac:dyDescent="0.25">
      <c r="B74" s="103">
        <v>239</v>
      </c>
      <c r="C74" s="105">
        <v>3.2</v>
      </c>
      <c r="D74" s="105" t="b">
        <f t="shared" si="8"/>
        <v>0</v>
      </c>
      <c r="E74" s="103"/>
      <c r="F74" s="124">
        <f t="shared" si="7"/>
        <v>0</v>
      </c>
      <c r="G74" s="126"/>
      <c r="H74" s="103"/>
      <c r="I74" s="103"/>
      <c r="J74" s="103"/>
    </row>
    <row r="75" spans="2:10" x14ac:dyDescent="0.25">
      <c r="B75" s="103">
        <v>240</v>
      </c>
      <c r="C75" s="105">
        <v>5.9</v>
      </c>
      <c r="D75" s="105" t="b">
        <f t="shared" si="8"/>
        <v>0</v>
      </c>
      <c r="E75" s="103">
        <v>1.44</v>
      </c>
      <c r="F75" s="124">
        <f t="shared" si="7"/>
        <v>2.0735999999999999</v>
      </c>
      <c r="G75" s="103"/>
      <c r="H75" s="103"/>
      <c r="I75" s="103"/>
      <c r="J75" s="103"/>
    </row>
    <row r="76" spans="2:10" x14ac:dyDescent="0.25">
      <c r="B76" s="103">
        <v>241</v>
      </c>
      <c r="C76" s="105">
        <v>7.1</v>
      </c>
      <c r="D76" s="105" t="b">
        <f t="shared" si="8"/>
        <v>0</v>
      </c>
      <c r="E76" s="103">
        <v>1.44</v>
      </c>
      <c r="F76" s="124">
        <f t="shared" si="7"/>
        <v>2.0735999999999999</v>
      </c>
      <c r="G76" s="103">
        <v>2.86</v>
      </c>
      <c r="H76" s="103"/>
      <c r="I76" s="127">
        <f>185*G76-185</f>
        <v>344.1</v>
      </c>
      <c r="J76" s="103"/>
    </row>
    <row r="77" spans="2:10" x14ac:dyDescent="0.25">
      <c r="B77" s="103">
        <v>242</v>
      </c>
      <c r="C77" s="105">
        <v>9</v>
      </c>
      <c r="D77" s="105" t="b">
        <f t="shared" si="8"/>
        <v>0</v>
      </c>
      <c r="E77" s="103">
        <v>1.44</v>
      </c>
      <c r="F77" s="124">
        <f t="shared" si="7"/>
        <v>2.0735999999999999</v>
      </c>
      <c r="G77" s="126"/>
      <c r="H77" s="126"/>
      <c r="I77" s="103"/>
      <c r="J77" s="103"/>
    </row>
    <row r="78" spans="2:10" x14ac:dyDescent="0.25">
      <c r="B78" s="103">
        <v>243</v>
      </c>
      <c r="C78" s="105">
        <v>6.1</v>
      </c>
      <c r="D78" s="105" t="b">
        <f t="shared" si="8"/>
        <v>0</v>
      </c>
      <c r="E78" s="103">
        <v>1.44</v>
      </c>
      <c r="F78" s="124">
        <f t="shared" si="7"/>
        <v>2.0735999999999999</v>
      </c>
      <c r="G78" s="126"/>
      <c r="H78" s="103"/>
      <c r="I78" s="103"/>
      <c r="J78" s="103"/>
    </row>
    <row r="79" spans="2:10" x14ac:dyDescent="0.25">
      <c r="B79" s="103">
        <v>244</v>
      </c>
      <c r="C79" s="105">
        <v>7.1</v>
      </c>
      <c r="D79" s="105" t="b">
        <f t="shared" si="8"/>
        <v>1</v>
      </c>
      <c r="E79" s="103">
        <v>1.44</v>
      </c>
      <c r="F79" s="124">
        <f t="shared" si="7"/>
        <v>2.0735999999999999</v>
      </c>
      <c r="G79" s="126"/>
      <c r="H79" s="103"/>
      <c r="I79" s="103"/>
      <c r="J79" s="103"/>
    </row>
    <row r="80" spans="2:10" x14ac:dyDescent="0.25">
      <c r="B80" s="103">
        <v>245</v>
      </c>
      <c r="C80" s="105">
        <v>7.1</v>
      </c>
      <c r="D80" s="105" t="b">
        <f t="shared" si="8"/>
        <v>0</v>
      </c>
      <c r="E80" s="103">
        <v>1.44</v>
      </c>
      <c r="F80" s="124">
        <f t="shared" si="7"/>
        <v>2.0735999999999999</v>
      </c>
      <c r="G80" s="126"/>
      <c r="H80" s="103"/>
      <c r="I80" s="103"/>
      <c r="J80" s="103"/>
    </row>
    <row r="81" spans="2:10" x14ac:dyDescent="0.25">
      <c r="B81" s="103">
        <v>246</v>
      </c>
      <c r="C81" s="105">
        <v>9.1</v>
      </c>
      <c r="D81" s="105" t="b">
        <f t="shared" si="8"/>
        <v>0</v>
      </c>
      <c r="E81" s="103">
        <v>1.44</v>
      </c>
      <c r="F81" s="124">
        <f t="shared" si="7"/>
        <v>2.0735999999999999</v>
      </c>
      <c r="G81" s="126"/>
      <c r="H81" s="103"/>
      <c r="I81" s="103"/>
      <c r="J81" s="103"/>
    </row>
    <row r="82" spans="2:10" x14ac:dyDescent="0.25">
      <c r="B82" s="103">
        <v>247</v>
      </c>
      <c r="C82" s="105">
        <v>5.9</v>
      </c>
      <c r="D82" s="105" t="b">
        <f t="shared" si="8"/>
        <v>1</v>
      </c>
      <c r="E82" s="103">
        <v>1.44</v>
      </c>
      <c r="F82" s="124">
        <f t="shared" si="7"/>
        <v>2.0735999999999999</v>
      </c>
      <c r="G82" s="126"/>
      <c r="H82" s="103"/>
      <c r="I82" s="103"/>
      <c r="J82" s="103"/>
    </row>
    <row r="83" spans="2:10" x14ac:dyDescent="0.25">
      <c r="B83" s="103">
        <v>248</v>
      </c>
      <c r="C83" s="105">
        <v>5.9</v>
      </c>
      <c r="D83" s="105" t="b">
        <f t="shared" si="8"/>
        <v>0</v>
      </c>
      <c r="E83" s="103">
        <v>1.44</v>
      </c>
      <c r="F83" s="124">
        <f t="shared" si="7"/>
        <v>0</v>
      </c>
      <c r="G83" s="126"/>
      <c r="H83" s="103"/>
      <c r="I83" s="103"/>
      <c r="J83" s="103"/>
    </row>
    <row r="84" spans="2:10" x14ac:dyDescent="0.25">
      <c r="B84" s="103">
        <v>249</v>
      </c>
      <c r="C84" s="105">
        <v>3.2</v>
      </c>
      <c r="D84" s="105" t="b">
        <f t="shared" si="8"/>
        <v>0</v>
      </c>
      <c r="E84" s="103"/>
      <c r="F84" s="124">
        <f t="shared" si="7"/>
        <v>0</v>
      </c>
      <c r="G84" s="126"/>
      <c r="H84" s="103"/>
      <c r="I84" s="103"/>
      <c r="J84" s="103"/>
    </row>
    <row r="85" spans="2:10" x14ac:dyDescent="0.25">
      <c r="B85" s="103">
        <v>250</v>
      </c>
      <c r="C85" s="105">
        <v>7.1</v>
      </c>
      <c r="D85" s="105" t="b">
        <f t="shared" si="8"/>
        <v>0</v>
      </c>
      <c r="E85" s="103">
        <v>1.44</v>
      </c>
      <c r="F85" s="124">
        <f t="shared" si="7"/>
        <v>2.0735999999999999</v>
      </c>
      <c r="G85" s="103"/>
      <c r="H85" s="103"/>
      <c r="I85" s="103"/>
      <c r="J85" s="103"/>
    </row>
    <row r="86" spans="2:10" x14ac:dyDescent="0.25">
      <c r="B86" s="103">
        <v>251</v>
      </c>
      <c r="C86" s="105">
        <v>6.1</v>
      </c>
      <c r="D86" s="105" t="b">
        <f t="shared" si="8"/>
        <v>0</v>
      </c>
      <c r="E86" s="103">
        <v>1.44</v>
      </c>
      <c r="F86" s="124">
        <f t="shared" si="7"/>
        <v>2.0735999999999999</v>
      </c>
      <c r="G86" s="103">
        <v>2.86</v>
      </c>
      <c r="H86" s="103"/>
      <c r="I86" s="127">
        <f>185*G86-185</f>
        <v>344.1</v>
      </c>
      <c r="J86" s="103"/>
    </row>
    <row r="87" spans="2:10" x14ac:dyDescent="0.25">
      <c r="B87" s="103">
        <v>252</v>
      </c>
      <c r="C87" s="105">
        <v>5.9</v>
      </c>
      <c r="D87" s="105" t="b">
        <f t="shared" si="8"/>
        <v>0</v>
      </c>
      <c r="E87" s="103">
        <v>1.44</v>
      </c>
      <c r="F87" s="124">
        <f t="shared" si="7"/>
        <v>2.0735999999999999</v>
      </c>
      <c r="G87" s="126"/>
      <c r="H87" s="126"/>
      <c r="I87" s="103"/>
      <c r="J87" s="103"/>
    </row>
    <row r="88" spans="2:10" x14ac:dyDescent="0.25">
      <c r="B88" s="103">
        <v>253</v>
      </c>
      <c r="C88" s="105">
        <v>9.1</v>
      </c>
      <c r="D88" s="105" t="b">
        <f t="shared" si="8"/>
        <v>1</v>
      </c>
      <c r="E88" s="103">
        <v>1.44</v>
      </c>
      <c r="F88" s="124">
        <f t="shared" si="7"/>
        <v>2.0735999999999999</v>
      </c>
      <c r="G88" s="126"/>
      <c r="H88" s="103"/>
      <c r="I88" s="103"/>
      <c r="J88" s="103"/>
    </row>
    <row r="89" spans="2:10" x14ac:dyDescent="0.25">
      <c r="B89" s="103">
        <v>254</v>
      </c>
      <c r="C89" s="105">
        <v>9.1</v>
      </c>
      <c r="D89" s="105" t="b">
        <f t="shared" si="8"/>
        <v>0</v>
      </c>
      <c r="E89" s="103">
        <v>1.44</v>
      </c>
      <c r="F89" s="124">
        <f t="shared" si="7"/>
        <v>0</v>
      </c>
      <c r="G89" s="126"/>
      <c r="H89" s="103"/>
      <c r="I89" s="103"/>
      <c r="J89" s="103"/>
    </row>
    <row r="90" spans="2:10" x14ac:dyDescent="0.25">
      <c r="B90" s="103">
        <v>255</v>
      </c>
      <c r="C90" s="105">
        <v>3.2</v>
      </c>
      <c r="D90" s="105"/>
      <c r="E90" s="103"/>
      <c r="F90" s="124">
        <f t="shared" si="7"/>
        <v>0</v>
      </c>
      <c r="G90" s="105"/>
      <c r="H90" s="103"/>
      <c r="I90" s="103"/>
      <c r="J90" s="103"/>
    </row>
    <row r="91" spans="2:10" x14ac:dyDescent="0.25">
      <c r="B91" s="103">
        <v>256</v>
      </c>
      <c r="C91" s="105">
        <v>3.2</v>
      </c>
      <c r="D91" s="105" t="b">
        <f t="shared" ref="D91:D120" si="9">C92=C91</f>
        <v>0</v>
      </c>
      <c r="E91" s="103"/>
      <c r="F91" s="124">
        <f t="shared" si="7"/>
        <v>0</v>
      </c>
      <c r="G91" s="103"/>
      <c r="H91" s="103"/>
      <c r="I91" s="103"/>
      <c r="J91" s="103"/>
    </row>
    <row r="92" spans="2:10" x14ac:dyDescent="0.25">
      <c r="B92" s="103">
        <v>257</v>
      </c>
      <c r="C92" s="105">
        <v>9.1</v>
      </c>
      <c r="D92" s="105" t="b">
        <f t="shared" si="9"/>
        <v>0</v>
      </c>
      <c r="E92" s="103">
        <v>1.44</v>
      </c>
      <c r="F92" s="124">
        <f t="shared" si="7"/>
        <v>0</v>
      </c>
      <c r="G92" s="103"/>
      <c r="H92" s="103"/>
      <c r="I92" s="103"/>
      <c r="J92" s="103"/>
    </row>
    <row r="93" spans="2:10" x14ac:dyDescent="0.25">
      <c r="B93" s="103">
        <v>258</v>
      </c>
      <c r="C93" s="105">
        <v>3.2</v>
      </c>
      <c r="D93" s="105" t="b">
        <f t="shared" si="9"/>
        <v>0</v>
      </c>
      <c r="E93" s="103"/>
      <c r="F93" s="124">
        <f t="shared" si="7"/>
        <v>0</v>
      </c>
      <c r="G93" s="126">
        <v>0</v>
      </c>
      <c r="H93" s="123"/>
      <c r="I93" s="127">
        <f>185*G93-185</f>
        <v>-185</v>
      </c>
      <c r="J93" s="103"/>
    </row>
    <row r="94" spans="2:10" x14ac:dyDescent="0.25">
      <c r="B94" s="103">
        <v>259</v>
      </c>
      <c r="C94" s="105">
        <v>9.1</v>
      </c>
      <c r="D94" s="105" t="b">
        <f t="shared" si="9"/>
        <v>0</v>
      </c>
      <c r="E94" s="103">
        <v>1.44</v>
      </c>
      <c r="F94" s="124">
        <f t="shared" si="7"/>
        <v>2.0735999999999999</v>
      </c>
      <c r="G94" s="103"/>
      <c r="H94" s="103"/>
      <c r="I94" s="103"/>
      <c r="J94" s="103"/>
    </row>
    <row r="95" spans="2:10" x14ac:dyDescent="0.25">
      <c r="B95" s="103">
        <v>260</v>
      </c>
      <c r="C95" s="105">
        <v>7.1</v>
      </c>
      <c r="D95" s="105" t="b">
        <f t="shared" si="9"/>
        <v>0</v>
      </c>
      <c r="E95" s="103">
        <v>1.44</v>
      </c>
      <c r="F95" s="124">
        <f t="shared" si="7"/>
        <v>2.0735999999999999</v>
      </c>
      <c r="G95" s="103">
        <v>2.86</v>
      </c>
      <c r="H95" s="103"/>
      <c r="I95" s="127">
        <f>185*G95-185</f>
        <v>344.1</v>
      </c>
      <c r="J95" s="103"/>
    </row>
    <row r="96" spans="2:10" x14ac:dyDescent="0.25">
      <c r="B96" s="103">
        <v>261</v>
      </c>
      <c r="C96" s="105">
        <v>9</v>
      </c>
      <c r="D96" s="105" t="b">
        <f t="shared" si="9"/>
        <v>0</v>
      </c>
      <c r="E96" s="103">
        <v>1.44</v>
      </c>
      <c r="F96" s="124">
        <f t="shared" si="7"/>
        <v>2.0735999999999999</v>
      </c>
      <c r="G96" s="126"/>
      <c r="H96" s="126"/>
      <c r="I96" s="103"/>
      <c r="J96" s="103"/>
    </row>
    <row r="97" spans="2:10" x14ac:dyDescent="0.25">
      <c r="B97" s="103">
        <v>262</v>
      </c>
      <c r="C97" s="105">
        <v>9.1</v>
      </c>
      <c r="D97" s="105" t="b">
        <f t="shared" si="9"/>
        <v>0</v>
      </c>
      <c r="E97" s="103">
        <v>1.44</v>
      </c>
      <c r="F97" s="124">
        <f t="shared" si="7"/>
        <v>0</v>
      </c>
      <c r="G97" s="126"/>
      <c r="H97" s="103"/>
      <c r="I97" s="103"/>
      <c r="J97" s="103"/>
    </row>
    <row r="98" spans="2:10" x14ac:dyDescent="0.25">
      <c r="B98" s="103">
        <v>263</v>
      </c>
      <c r="C98" s="105">
        <v>3.2</v>
      </c>
      <c r="D98" s="105" t="b">
        <f t="shared" si="9"/>
        <v>0</v>
      </c>
      <c r="E98" s="103"/>
      <c r="F98" s="124">
        <f t="shared" si="7"/>
        <v>0</v>
      </c>
      <c r="G98" s="105"/>
      <c r="H98" s="103"/>
      <c r="I98" s="103"/>
      <c r="J98" s="103"/>
    </row>
    <row r="99" spans="2:10" x14ac:dyDescent="0.25">
      <c r="B99" s="103">
        <v>264</v>
      </c>
      <c r="C99" s="105">
        <v>6.1</v>
      </c>
      <c r="D99" s="105" t="b">
        <f t="shared" si="9"/>
        <v>0</v>
      </c>
      <c r="E99" s="103">
        <v>1.44</v>
      </c>
      <c r="F99" s="124">
        <f t="shared" ref="F99:F130" si="10">E99*E100</f>
        <v>0</v>
      </c>
      <c r="G99" s="103"/>
      <c r="H99" s="103"/>
      <c r="I99" s="103"/>
      <c r="J99" s="103"/>
    </row>
    <row r="100" spans="2:10" x14ac:dyDescent="0.25">
      <c r="B100" s="103">
        <v>265</v>
      </c>
      <c r="C100" s="105">
        <v>3.2</v>
      </c>
      <c r="D100" s="105" t="b">
        <f t="shared" si="9"/>
        <v>0</v>
      </c>
      <c r="E100" s="103"/>
      <c r="F100" s="124">
        <f t="shared" si="10"/>
        <v>0</v>
      </c>
      <c r="G100" s="126">
        <v>0</v>
      </c>
      <c r="H100" s="103"/>
      <c r="I100" s="127">
        <f>185*G100-185</f>
        <v>-185</v>
      </c>
      <c r="J100" s="103"/>
    </row>
    <row r="101" spans="2:10" x14ac:dyDescent="0.25">
      <c r="B101" s="103">
        <v>266</v>
      </c>
      <c r="C101" s="105">
        <v>6.1</v>
      </c>
      <c r="D101" s="105" t="b">
        <f t="shared" si="9"/>
        <v>0</v>
      </c>
      <c r="E101" s="103">
        <v>1.44</v>
      </c>
      <c r="F101" s="124">
        <f t="shared" si="10"/>
        <v>2.0735999999999999</v>
      </c>
      <c r="G101" s="103"/>
      <c r="H101" s="103"/>
      <c r="I101" s="103"/>
      <c r="J101" s="103"/>
    </row>
    <row r="102" spans="2:10" x14ac:dyDescent="0.25">
      <c r="B102" s="103">
        <v>267</v>
      </c>
      <c r="C102" s="105">
        <v>7.1</v>
      </c>
      <c r="D102" s="105" t="b">
        <f t="shared" si="9"/>
        <v>0</v>
      </c>
      <c r="E102" s="103">
        <v>1.44</v>
      </c>
      <c r="F102" s="124">
        <f t="shared" si="10"/>
        <v>0</v>
      </c>
      <c r="G102" s="103">
        <v>2.86</v>
      </c>
      <c r="H102" s="103"/>
      <c r="I102" s="127">
        <f>185*G102-185</f>
        <v>344.1</v>
      </c>
      <c r="J102" s="103"/>
    </row>
    <row r="103" spans="2:10" x14ac:dyDescent="0.25">
      <c r="B103" s="103">
        <v>268</v>
      </c>
      <c r="C103" s="105">
        <v>3.2</v>
      </c>
      <c r="D103" s="105" t="b">
        <f t="shared" si="9"/>
        <v>0</v>
      </c>
      <c r="E103" s="103"/>
      <c r="F103" s="124">
        <f t="shared" si="10"/>
        <v>0</v>
      </c>
      <c r="G103" s="103"/>
      <c r="H103" s="103"/>
      <c r="I103" s="103"/>
      <c r="J103" s="103"/>
    </row>
    <row r="104" spans="2:10" x14ac:dyDescent="0.25">
      <c r="B104" s="103">
        <v>269</v>
      </c>
      <c r="C104" s="105">
        <v>6.1</v>
      </c>
      <c r="D104" s="105" t="b">
        <f t="shared" si="9"/>
        <v>1</v>
      </c>
      <c r="E104" s="103">
        <v>1.44</v>
      </c>
      <c r="F104" s="124">
        <f t="shared" si="10"/>
        <v>2.0735999999999999</v>
      </c>
      <c r="G104" s="103"/>
      <c r="H104" s="103"/>
      <c r="I104" s="103"/>
      <c r="J104" s="103"/>
    </row>
    <row r="105" spans="2:10" x14ac:dyDescent="0.25">
      <c r="B105" s="103">
        <v>270</v>
      </c>
      <c r="C105" s="105">
        <v>6.1</v>
      </c>
      <c r="D105" s="105" t="b">
        <f t="shared" si="9"/>
        <v>0</v>
      </c>
      <c r="E105" s="103">
        <v>1.44</v>
      </c>
      <c r="F105" s="124">
        <f t="shared" si="10"/>
        <v>2.0735999999999999</v>
      </c>
      <c r="G105" s="103">
        <v>2.86</v>
      </c>
      <c r="H105" s="103"/>
      <c r="I105" s="127">
        <f>185*G105-185</f>
        <v>344.1</v>
      </c>
      <c r="J105" s="103"/>
    </row>
    <row r="106" spans="2:10" x14ac:dyDescent="0.25">
      <c r="B106" s="103">
        <v>271</v>
      </c>
      <c r="C106" s="105">
        <v>5.9</v>
      </c>
      <c r="D106" s="105" t="b">
        <f t="shared" si="9"/>
        <v>0</v>
      </c>
      <c r="E106" s="103">
        <v>1.44</v>
      </c>
      <c r="F106" s="124">
        <f t="shared" si="10"/>
        <v>2.0735999999999999</v>
      </c>
      <c r="G106" s="126"/>
      <c r="H106" s="126"/>
      <c r="I106" s="103"/>
      <c r="J106" s="103"/>
    </row>
    <row r="107" spans="2:10" x14ac:dyDescent="0.25">
      <c r="B107" s="103">
        <v>273</v>
      </c>
      <c r="C107" s="105">
        <v>6.1</v>
      </c>
      <c r="D107" s="105" t="b">
        <f t="shared" si="9"/>
        <v>0</v>
      </c>
      <c r="E107" s="103">
        <v>1.44</v>
      </c>
      <c r="F107" s="124">
        <f t="shared" si="10"/>
        <v>0</v>
      </c>
      <c r="G107" s="126"/>
      <c r="H107" s="103"/>
      <c r="I107" s="103"/>
      <c r="J107" s="103"/>
    </row>
    <row r="108" spans="2:10" x14ac:dyDescent="0.25">
      <c r="B108" s="103">
        <v>274</v>
      </c>
      <c r="C108" s="105">
        <v>3.2</v>
      </c>
      <c r="D108" s="105" t="b">
        <f t="shared" si="9"/>
        <v>0</v>
      </c>
      <c r="E108" s="103"/>
      <c r="F108" s="124">
        <f t="shared" si="10"/>
        <v>0</v>
      </c>
      <c r="G108" s="103"/>
      <c r="H108" s="103"/>
      <c r="I108" s="103"/>
      <c r="J108" s="103"/>
    </row>
    <row r="109" spans="2:10" x14ac:dyDescent="0.25">
      <c r="B109" s="103">
        <v>275</v>
      </c>
      <c r="C109" s="105">
        <v>6.1</v>
      </c>
      <c r="D109" s="105" t="b">
        <f t="shared" si="9"/>
        <v>0</v>
      </c>
      <c r="E109" s="103">
        <v>1.44</v>
      </c>
      <c r="F109" s="124">
        <f t="shared" si="10"/>
        <v>2.0735999999999999</v>
      </c>
      <c r="G109" s="103"/>
      <c r="H109" s="103"/>
      <c r="I109" s="103"/>
      <c r="J109" s="103"/>
    </row>
    <row r="110" spans="2:10" x14ac:dyDescent="0.25">
      <c r="B110" s="103">
        <v>276</v>
      </c>
      <c r="C110" s="105">
        <v>9</v>
      </c>
      <c r="D110" s="105" t="b">
        <f t="shared" si="9"/>
        <v>0</v>
      </c>
      <c r="E110" s="103">
        <v>1.44</v>
      </c>
      <c r="F110" s="124">
        <f t="shared" si="10"/>
        <v>2.0735999999999999</v>
      </c>
      <c r="G110" s="103">
        <v>2.86</v>
      </c>
      <c r="H110" s="103"/>
      <c r="I110" s="127">
        <f>185*G110-185</f>
        <v>344.1</v>
      </c>
      <c r="J110" s="103"/>
    </row>
    <row r="111" spans="2:10" x14ac:dyDescent="0.25">
      <c r="B111" s="103">
        <v>278</v>
      </c>
      <c r="C111" s="105">
        <v>9.1</v>
      </c>
      <c r="D111" s="105" t="b">
        <f t="shared" si="9"/>
        <v>0</v>
      </c>
      <c r="E111" s="103">
        <v>1.44</v>
      </c>
      <c r="F111" s="124">
        <f t="shared" si="10"/>
        <v>0</v>
      </c>
      <c r="G111" s="126"/>
      <c r="H111" s="126"/>
      <c r="I111" s="103"/>
      <c r="J111" s="103"/>
    </row>
    <row r="112" spans="2:10" x14ac:dyDescent="0.25">
      <c r="B112" s="105">
        <v>279</v>
      </c>
      <c r="C112" s="105">
        <v>3.2</v>
      </c>
      <c r="D112" s="105" t="b">
        <f t="shared" si="9"/>
        <v>0</v>
      </c>
      <c r="E112" s="103"/>
      <c r="F112" s="124">
        <f t="shared" si="10"/>
        <v>0</v>
      </c>
      <c r="G112" s="103"/>
      <c r="H112" s="103"/>
      <c r="I112" s="103"/>
      <c r="J112" s="103"/>
    </row>
    <row r="113" spans="2:10" x14ac:dyDescent="0.25">
      <c r="B113" s="105">
        <v>280</v>
      </c>
      <c r="C113" s="105">
        <v>9</v>
      </c>
      <c r="D113" s="105" t="b">
        <f t="shared" si="9"/>
        <v>0</v>
      </c>
      <c r="E113" s="103">
        <v>1.44</v>
      </c>
      <c r="F113" s="124">
        <f t="shared" si="10"/>
        <v>2.0735999999999999</v>
      </c>
      <c r="G113" s="103"/>
      <c r="H113" s="103"/>
      <c r="I113" s="103"/>
      <c r="J113" s="103"/>
    </row>
    <row r="114" spans="2:10" x14ac:dyDescent="0.25">
      <c r="B114" s="105">
        <v>281</v>
      </c>
      <c r="C114" s="105">
        <v>6.1</v>
      </c>
      <c r="D114" s="105" t="b">
        <f t="shared" si="9"/>
        <v>0</v>
      </c>
      <c r="E114" s="103">
        <v>1.44</v>
      </c>
      <c r="F114" s="124">
        <f t="shared" si="10"/>
        <v>0</v>
      </c>
      <c r="G114" s="103">
        <v>2.86</v>
      </c>
      <c r="H114" s="103"/>
      <c r="I114" s="127">
        <f>185*G114-185</f>
        <v>344.1</v>
      </c>
      <c r="J114" s="103"/>
    </row>
    <row r="115" spans="2:10" x14ac:dyDescent="0.25">
      <c r="B115" s="105">
        <v>282</v>
      </c>
      <c r="C115" s="105">
        <v>3.2</v>
      </c>
      <c r="D115" s="105" t="b">
        <f t="shared" si="9"/>
        <v>0</v>
      </c>
      <c r="E115" s="103"/>
      <c r="F115" s="124">
        <f t="shared" si="10"/>
        <v>0</v>
      </c>
      <c r="G115" s="126"/>
      <c r="H115" s="126"/>
      <c r="I115" s="103"/>
      <c r="J115" s="103"/>
    </row>
    <row r="116" spans="2:10" x14ac:dyDescent="0.25">
      <c r="B116" s="103">
        <v>283</v>
      </c>
      <c r="C116" s="105">
        <v>6.1</v>
      </c>
      <c r="D116" s="105" t="b">
        <f t="shared" si="9"/>
        <v>1</v>
      </c>
      <c r="E116" s="103">
        <v>1.44</v>
      </c>
      <c r="F116" s="124">
        <f t="shared" si="10"/>
        <v>2.0735999999999999</v>
      </c>
      <c r="G116" s="103"/>
      <c r="H116" s="103"/>
      <c r="I116" s="103"/>
      <c r="J116" s="103"/>
    </row>
    <row r="117" spans="2:10" x14ac:dyDescent="0.25">
      <c r="B117" s="103">
        <v>284</v>
      </c>
      <c r="C117" s="105">
        <v>6.1</v>
      </c>
      <c r="D117" s="105" t="b">
        <f t="shared" si="9"/>
        <v>0</v>
      </c>
      <c r="E117" s="103">
        <v>1.44</v>
      </c>
      <c r="F117" s="124">
        <f t="shared" si="10"/>
        <v>0</v>
      </c>
      <c r="G117" s="103">
        <v>2.86</v>
      </c>
      <c r="H117" s="103"/>
      <c r="I117" s="127">
        <f>185*G117-185</f>
        <v>344.1</v>
      </c>
      <c r="J117" s="103"/>
    </row>
    <row r="118" spans="2:10" x14ac:dyDescent="0.25">
      <c r="B118" s="103">
        <v>285</v>
      </c>
      <c r="C118" s="105">
        <v>3.2</v>
      </c>
      <c r="D118" s="105" t="b">
        <f t="shared" si="9"/>
        <v>0</v>
      </c>
      <c r="E118" s="103"/>
      <c r="F118" s="124">
        <f t="shared" si="10"/>
        <v>0</v>
      </c>
      <c r="G118" s="126"/>
      <c r="H118" s="126"/>
      <c r="I118" s="103"/>
      <c r="J118" s="103"/>
    </row>
    <row r="119" spans="2:10" x14ac:dyDescent="0.25">
      <c r="B119" s="103">
        <v>286</v>
      </c>
      <c r="C119" s="105">
        <v>9.1</v>
      </c>
      <c r="D119" s="105" t="b">
        <f t="shared" si="9"/>
        <v>1</v>
      </c>
      <c r="E119" s="103">
        <v>1.44</v>
      </c>
      <c r="F119" s="124">
        <f t="shared" si="10"/>
        <v>2.0735999999999999</v>
      </c>
      <c r="G119" s="103"/>
      <c r="H119" s="103"/>
      <c r="I119" s="103"/>
      <c r="J119" s="103"/>
    </row>
    <row r="120" spans="2:10" x14ac:dyDescent="0.25">
      <c r="B120" s="103">
        <v>287</v>
      </c>
      <c r="C120" s="105">
        <v>9.1</v>
      </c>
      <c r="D120" s="105" t="b">
        <f t="shared" si="9"/>
        <v>0</v>
      </c>
      <c r="E120" s="103">
        <v>1.44</v>
      </c>
      <c r="F120" s="124">
        <f t="shared" si="10"/>
        <v>0</v>
      </c>
      <c r="G120" s="103">
        <v>2.86</v>
      </c>
      <c r="H120" s="103"/>
      <c r="I120" s="127">
        <f>185*G120-185</f>
        <v>344.1</v>
      </c>
      <c r="J120" s="103"/>
    </row>
    <row r="121" spans="2:10" x14ac:dyDescent="0.25">
      <c r="B121" s="103">
        <v>288</v>
      </c>
      <c r="C121" s="105">
        <v>3.2</v>
      </c>
      <c r="D121" s="105"/>
      <c r="E121" s="103"/>
      <c r="F121" s="124">
        <f t="shared" si="10"/>
        <v>0</v>
      </c>
      <c r="G121" s="126"/>
      <c r="H121" s="126"/>
      <c r="I121" s="103"/>
      <c r="J121" s="103"/>
    </row>
    <row r="122" spans="2:10" x14ac:dyDescent="0.25">
      <c r="B122" s="103">
        <v>289</v>
      </c>
      <c r="C122" s="105">
        <v>3.2</v>
      </c>
      <c r="D122" s="105" t="b">
        <f>C123=C122</f>
        <v>0</v>
      </c>
      <c r="E122" s="103"/>
      <c r="F122" s="124">
        <f t="shared" si="10"/>
        <v>0</v>
      </c>
      <c r="G122" s="103"/>
      <c r="H122" s="103"/>
      <c r="I122" s="103"/>
      <c r="J122" s="103"/>
    </row>
    <row r="123" spans="2:10" x14ac:dyDescent="0.25">
      <c r="B123" s="103">
        <v>290</v>
      </c>
      <c r="C123" s="105">
        <v>6.1</v>
      </c>
      <c r="D123" s="105" t="b">
        <f>C124=C123</f>
        <v>0</v>
      </c>
      <c r="E123" s="103">
        <v>1.44</v>
      </c>
      <c r="F123" s="124">
        <f t="shared" si="10"/>
        <v>2.0735999999999999</v>
      </c>
      <c r="G123" s="103"/>
      <c r="H123" s="103"/>
      <c r="I123" s="103"/>
      <c r="J123" s="103"/>
    </row>
    <row r="124" spans="2:10" x14ac:dyDescent="0.25">
      <c r="B124" s="103">
        <v>291</v>
      </c>
      <c r="C124" s="105">
        <v>5.9</v>
      </c>
      <c r="D124" s="105" t="b">
        <f>C125=C124</f>
        <v>0</v>
      </c>
      <c r="E124" s="103">
        <v>1.44</v>
      </c>
      <c r="F124" s="124">
        <f t="shared" si="10"/>
        <v>2.0735999999999999</v>
      </c>
      <c r="G124" s="103">
        <v>2.86</v>
      </c>
      <c r="H124" s="125"/>
      <c r="I124" s="127">
        <f>185*G124-185</f>
        <v>344.1</v>
      </c>
      <c r="J124" s="103"/>
    </row>
    <row r="125" spans="2:10" x14ac:dyDescent="0.25">
      <c r="B125" s="103">
        <v>292</v>
      </c>
      <c r="C125" s="105">
        <v>9.1</v>
      </c>
      <c r="D125" s="105" t="b">
        <f>C126=C125</f>
        <v>0</v>
      </c>
      <c r="E125" s="103">
        <v>1.44</v>
      </c>
      <c r="F125" s="124">
        <f t="shared" si="10"/>
        <v>0</v>
      </c>
      <c r="G125" s="126"/>
      <c r="H125" s="126"/>
      <c r="I125" s="103"/>
      <c r="J125" s="103"/>
    </row>
    <row r="126" spans="2:10" x14ac:dyDescent="0.25">
      <c r="B126" s="103">
        <v>293</v>
      </c>
      <c r="C126" s="105">
        <v>3.2</v>
      </c>
      <c r="D126" s="105"/>
      <c r="E126" s="103"/>
      <c r="F126" s="124">
        <f t="shared" si="10"/>
        <v>0</v>
      </c>
      <c r="G126" s="103"/>
      <c r="H126" s="103"/>
      <c r="I126" s="103"/>
      <c r="J126" s="103"/>
    </row>
    <row r="127" spans="2:10" x14ac:dyDescent="0.25">
      <c r="B127" s="103">
        <v>294</v>
      </c>
      <c r="C127" s="105">
        <v>3.2</v>
      </c>
      <c r="D127" s="105"/>
      <c r="E127" s="103"/>
      <c r="F127" s="124">
        <f t="shared" si="10"/>
        <v>0</v>
      </c>
      <c r="G127" s="103"/>
      <c r="H127" s="103"/>
      <c r="I127" s="103"/>
      <c r="J127" s="103"/>
    </row>
    <row r="128" spans="2:10" x14ac:dyDescent="0.25">
      <c r="B128" s="103">
        <v>295</v>
      </c>
      <c r="C128" s="105">
        <v>3.2</v>
      </c>
      <c r="D128" s="105" t="b">
        <f t="shared" ref="D128:D142" si="11">C129=C128</f>
        <v>0</v>
      </c>
      <c r="E128" s="103"/>
      <c r="F128" s="124">
        <f t="shared" si="10"/>
        <v>0</v>
      </c>
      <c r="G128" s="103"/>
      <c r="H128" s="103"/>
      <c r="I128" s="103"/>
      <c r="J128" s="103"/>
    </row>
    <row r="129" spans="2:10" x14ac:dyDescent="0.25">
      <c r="B129" s="103">
        <v>296</v>
      </c>
      <c r="C129" s="105">
        <v>7.1</v>
      </c>
      <c r="D129" s="105" t="b">
        <f t="shared" si="11"/>
        <v>0</v>
      </c>
      <c r="E129" s="103">
        <v>1.44</v>
      </c>
      <c r="F129" s="124">
        <f t="shared" si="10"/>
        <v>2.0735999999999999</v>
      </c>
      <c r="G129" s="103"/>
      <c r="H129" s="103"/>
      <c r="I129" s="103"/>
      <c r="J129" s="103"/>
    </row>
    <row r="130" spans="2:10" x14ac:dyDescent="0.25">
      <c r="B130" s="103">
        <v>297</v>
      </c>
      <c r="C130" s="105">
        <v>6.1</v>
      </c>
      <c r="D130" s="105" t="b">
        <f t="shared" si="11"/>
        <v>0</v>
      </c>
      <c r="E130" s="103">
        <v>1.44</v>
      </c>
      <c r="F130" s="124">
        <f t="shared" si="10"/>
        <v>0</v>
      </c>
      <c r="G130" s="103">
        <v>2.86</v>
      </c>
      <c r="H130" s="103"/>
      <c r="I130" s="127">
        <f>185*G130-185</f>
        <v>344.1</v>
      </c>
      <c r="J130" s="103"/>
    </row>
    <row r="131" spans="2:10" x14ac:dyDescent="0.25">
      <c r="B131" s="103">
        <v>298</v>
      </c>
      <c r="C131" s="105">
        <v>3.2</v>
      </c>
      <c r="D131" s="105" t="b">
        <f t="shared" si="11"/>
        <v>0</v>
      </c>
      <c r="E131" s="103"/>
      <c r="F131" s="124">
        <f t="shared" ref="F131:F162" si="12">E131*E132</f>
        <v>0</v>
      </c>
      <c r="G131" s="126"/>
      <c r="H131" s="126"/>
      <c r="I131" s="103"/>
      <c r="J131" s="103"/>
    </row>
    <row r="132" spans="2:10" x14ac:dyDescent="0.25">
      <c r="B132" s="103">
        <v>299</v>
      </c>
      <c r="C132" s="105">
        <v>9</v>
      </c>
      <c r="D132" s="105" t="b">
        <f t="shared" si="11"/>
        <v>0</v>
      </c>
      <c r="E132" s="103">
        <v>1.44</v>
      </c>
      <c r="F132" s="124">
        <f t="shared" si="12"/>
        <v>2.0735999999999999</v>
      </c>
      <c r="G132" s="103"/>
      <c r="H132" s="103"/>
      <c r="I132" s="103"/>
      <c r="J132" s="103"/>
    </row>
    <row r="133" spans="2:10" x14ac:dyDescent="0.25">
      <c r="B133" s="103">
        <v>300</v>
      </c>
      <c r="C133" s="105">
        <v>6.1</v>
      </c>
      <c r="D133" s="105" t="b">
        <f t="shared" si="11"/>
        <v>0</v>
      </c>
      <c r="E133" s="103">
        <v>1.44</v>
      </c>
      <c r="F133" s="124">
        <f t="shared" si="12"/>
        <v>2.0735999999999999</v>
      </c>
      <c r="G133" s="103">
        <v>2.86</v>
      </c>
      <c r="H133" s="103"/>
      <c r="I133" s="127">
        <f>185*G133-185</f>
        <v>344.1</v>
      </c>
      <c r="J133" s="103"/>
    </row>
    <row r="134" spans="2:10" x14ac:dyDescent="0.25">
      <c r="B134" s="103">
        <v>301</v>
      </c>
      <c r="C134" s="105">
        <v>7.1</v>
      </c>
      <c r="D134" s="105" t="b">
        <f t="shared" si="11"/>
        <v>0</v>
      </c>
      <c r="E134" s="103">
        <v>1.44</v>
      </c>
      <c r="F134" s="124">
        <f t="shared" si="12"/>
        <v>2.0735999999999999</v>
      </c>
      <c r="G134" s="126"/>
      <c r="H134" s="126"/>
      <c r="I134" s="103"/>
      <c r="J134" s="103"/>
    </row>
    <row r="135" spans="2:10" x14ac:dyDescent="0.25">
      <c r="B135" s="103">
        <v>302</v>
      </c>
      <c r="C135" s="105">
        <v>9</v>
      </c>
      <c r="D135" s="105" t="b">
        <f t="shared" si="11"/>
        <v>0</v>
      </c>
      <c r="E135" s="103">
        <v>1.44</v>
      </c>
      <c r="F135" s="124">
        <f t="shared" si="12"/>
        <v>2.0735999999999999</v>
      </c>
      <c r="G135" s="126"/>
      <c r="H135" s="103"/>
      <c r="I135" s="103"/>
      <c r="J135" s="103"/>
    </row>
    <row r="136" spans="2:10" x14ac:dyDescent="0.25">
      <c r="B136" s="103">
        <v>304</v>
      </c>
      <c r="C136" s="105">
        <v>5.9</v>
      </c>
      <c r="D136" s="105" t="b">
        <f t="shared" si="11"/>
        <v>1</v>
      </c>
      <c r="E136" s="103">
        <v>1.44</v>
      </c>
      <c r="F136" s="124">
        <f t="shared" si="12"/>
        <v>2.0735999999999999</v>
      </c>
      <c r="G136" s="126"/>
      <c r="H136" s="103"/>
      <c r="I136" s="103"/>
      <c r="J136" s="103"/>
    </row>
    <row r="137" spans="2:10" x14ac:dyDescent="0.25">
      <c r="B137" s="103">
        <v>305</v>
      </c>
      <c r="C137" s="105">
        <v>5.9</v>
      </c>
      <c r="D137" s="105" t="b">
        <f t="shared" si="11"/>
        <v>0</v>
      </c>
      <c r="E137" s="103">
        <v>1.44</v>
      </c>
      <c r="F137" s="124">
        <f t="shared" si="12"/>
        <v>2.0735999999999999</v>
      </c>
      <c r="G137" s="126"/>
      <c r="H137" s="103"/>
      <c r="I137" s="103"/>
      <c r="J137" s="103"/>
    </row>
    <row r="138" spans="2:10" x14ac:dyDescent="0.25">
      <c r="B138" s="103">
        <v>306</v>
      </c>
      <c r="C138" s="105">
        <v>7.1</v>
      </c>
      <c r="D138" s="105" t="b">
        <f t="shared" si="11"/>
        <v>0</v>
      </c>
      <c r="E138" s="103">
        <v>1.44</v>
      </c>
      <c r="F138" s="124">
        <f t="shared" si="12"/>
        <v>2.0735999999999999</v>
      </c>
      <c r="G138" s="126"/>
      <c r="H138" s="103"/>
      <c r="I138" s="103"/>
      <c r="J138" s="103"/>
    </row>
    <row r="139" spans="2:10" x14ac:dyDescent="0.25">
      <c r="B139" s="103">
        <v>307</v>
      </c>
      <c r="C139" s="105">
        <v>6.1</v>
      </c>
      <c r="D139" s="105" t="b">
        <f t="shared" si="11"/>
        <v>0</v>
      </c>
      <c r="E139" s="103">
        <v>1.44</v>
      </c>
      <c r="F139" s="124">
        <f t="shared" si="12"/>
        <v>2.0735999999999999</v>
      </c>
      <c r="G139" s="126"/>
      <c r="H139" s="103"/>
      <c r="I139" s="103"/>
      <c r="J139" s="103"/>
    </row>
    <row r="140" spans="2:10" x14ac:dyDescent="0.25">
      <c r="B140" s="103">
        <v>308</v>
      </c>
      <c r="C140" s="105">
        <v>7.1</v>
      </c>
      <c r="D140" s="105" t="b">
        <f t="shared" si="11"/>
        <v>1</v>
      </c>
      <c r="E140" s="103">
        <v>1.44</v>
      </c>
      <c r="F140" s="124">
        <f t="shared" si="12"/>
        <v>2.0735999999999999</v>
      </c>
      <c r="G140" s="126"/>
      <c r="H140" s="103"/>
      <c r="I140" s="103"/>
      <c r="J140" s="103"/>
    </row>
    <row r="141" spans="2:10" x14ac:dyDescent="0.25">
      <c r="B141" s="103">
        <v>309</v>
      </c>
      <c r="C141" s="105">
        <v>7.1</v>
      </c>
      <c r="D141" s="105" t="b">
        <f t="shared" si="11"/>
        <v>1</v>
      </c>
      <c r="E141" s="103">
        <v>1.44</v>
      </c>
      <c r="F141" s="124">
        <f t="shared" si="12"/>
        <v>2.0735999999999999</v>
      </c>
      <c r="G141" s="126"/>
      <c r="H141" s="125"/>
      <c r="I141" s="103"/>
      <c r="J141" s="103"/>
    </row>
    <row r="142" spans="2:10" x14ac:dyDescent="0.25">
      <c r="B142" s="103">
        <v>310</v>
      </c>
      <c r="C142" s="105">
        <v>7.1</v>
      </c>
      <c r="D142" s="105" t="b">
        <f t="shared" si="11"/>
        <v>0</v>
      </c>
      <c r="E142" s="103">
        <v>1.44</v>
      </c>
      <c r="F142" s="124">
        <f t="shared" si="12"/>
        <v>0</v>
      </c>
      <c r="G142" s="126"/>
      <c r="H142" s="103"/>
      <c r="I142" s="103"/>
      <c r="J142" s="103"/>
    </row>
    <row r="143" spans="2:10" x14ac:dyDescent="0.25">
      <c r="B143" s="103">
        <v>311</v>
      </c>
      <c r="C143" s="105">
        <v>3.2</v>
      </c>
      <c r="D143" s="105"/>
      <c r="E143" s="103"/>
      <c r="F143" s="124">
        <f t="shared" si="12"/>
        <v>0</v>
      </c>
      <c r="G143" s="103"/>
      <c r="H143" s="103"/>
      <c r="I143" s="103"/>
      <c r="J143" s="103"/>
    </row>
    <row r="144" spans="2:10" x14ac:dyDescent="0.25">
      <c r="B144" s="103">
        <v>312</v>
      </c>
      <c r="C144" s="105">
        <v>3.2</v>
      </c>
      <c r="D144" s="105"/>
      <c r="E144" s="103"/>
      <c r="F144" s="124">
        <f t="shared" si="12"/>
        <v>0</v>
      </c>
      <c r="G144" s="103"/>
      <c r="H144" s="103"/>
      <c r="I144" s="103"/>
      <c r="J144" s="103"/>
    </row>
    <row r="145" spans="2:10" x14ac:dyDescent="0.25">
      <c r="B145" s="103">
        <v>313</v>
      </c>
      <c r="C145" s="105">
        <v>3.2</v>
      </c>
      <c r="D145" s="105" t="b">
        <f t="shared" ref="D145:D155" si="13">C146=C145</f>
        <v>0</v>
      </c>
      <c r="E145" s="103"/>
      <c r="F145" s="124">
        <f t="shared" si="12"/>
        <v>0</v>
      </c>
      <c r="G145" s="128"/>
      <c r="H145" s="103"/>
      <c r="I145" s="103"/>
      <c r="J145" s="103"/>
    </row>
    <row r="146" spans="2:10" x14ac:dyDescent="0.25">
      <c r="B146" s="103">
        <v>314</v>
      </c>
      <c r="C146" s="105">
        <v>6.1</v>
      </c>
      <c r="D146" s="105" t="b">
        <f t="shared" si="13"/>
        <v>0</v>
      </c>
      <c r="E146" s="103">
        <v>1.44</v>
      </c>
      <c r="F146" s="124">
        <f t="shared" si="12"/>
        <v>0</v>
      </c>
      <c r="G146" s="103"/>
      <c r="H146" s="128">
        <f>3.2*1.44*3.22</f>
        <v>14.837759999999999</v>
      </c>
      <c r="I146" s="103"/>
      <c r="J146" s="103"/>
    </row>
    <row r="147" spans="2:10" x14ac:dyDescent="0.25">
      <c r="B147" s="103">
        <v>315</v>
      </c>
      <c r="C147" s="105">
        <v>3.2</v>
      </c>
      <c r="D147" s="105" t="b">
        <f t="shared" si="13"/>
        <v>0</v>
      </c>
      <c r="E147" s="103"/>
      <c r="F147" s="124">
        <f t="shared" si="12"/>
        <v>0</v>
      </c>
      <c r="G147" s="124">
        <v>0</v>
      </c>
      <c r="H147" s="123"/>
      <c r="I147" s="127">
        <f>185*G147-185</f>
        <v>-185</v>
      </c>
      <c r="J147" s="103"/>
    </row>
    <row r="148" spans="2:10" x14ac:dyDescent="0.25">
      <c r="B148" s="103">
        <v>316</v>
      </c>
      <c r="C148" s="105">
        <v>9</v>
      </c>
      <c r="D148" s="105" t="b">
        <f t="shared" si="13"/>
        <v>0</v>
      </c>
      <c r="E148" s="103">
        <v>1.44</v>
      </c>
      <c r="F148" s="124">
        <f t="shared" si="12"/>
        <v>2.0735999999999999</v>
      </c>
      <c r="G148" s="103"/>
      <c r="H148" s="103"/>
      <c r="I148" s="103"/>
      <c r="J148" s="103"/>
    </row>
    <row r="149" spans="2:10" x14ac:dyDescent="0.25">
      <c r="B149" s="103">
        <v>317</v>
      </c>
      <c r="C149" s="105">
        <v>7.1</v>
      </c>
      <c r="D149" s="105" t="b">
        <f t="shared" si="13"/>
        <v>0</v>
      </c>
      <c r="E149" s="103">
        <v>1.44</v>
      </c>
      <c r="F149" s="124">
        <f t="shared" si="12"/>
        <v>0</v>
      </c>
      <c r="G149" s="103">
        <v>2.86</v>
      </c>
      <c r="H149" s="103"/>
      <c r="I149" s="127">
        <f>185*G149-185</f>
        <v>344.1</v>
      </c>
      <c r="J149" s="103"/>
    </row>
    <row r="150" spans="2:10" x14ac:dyDescent="0.25">
      <c r="B150" s="103">
        <v>318</v>
      </c>
      <c r="C150" s="105">
        <v>3.2</v>
      </c>
      <c r="D150" s="105" t="b">
        <f t="shared" si="13"/>
        <v>0</v>
      </c>
      <c r="E150" s="103"/>
      <c r="F150" s="124">
        <f t="shared" si="12"/>
        <v>0</v>
      </c>
      <c r="G150" s="126"/>
      <c r="H150" s="126"/>
      <c r="I150" s="103"/>
      <c r="J150" s="103"/>
    </row>
    <row r="151" spans="2:10" x14ac:dyDescent="0.25">
      <c r="B151" s="103">
        <v>319</v>
      </c>
      <c r="C151" s="105">
        <v>6.1</v>
      </c>
      <c r="D151" s="105" t="b">
        <f t="shared" si="13"/>
        <v>0</v>
      </c>
      <c r="E151" s="103">
        <v>1.44</v>
      </c>
      <c r="F151" s="124">
        <f t="shared" si="12"/>
        <v>0</v>
      </c>
      <c r="G151" s="103"/>
      <c r="H151" s="103"/>
      <c r="I151" s="103"/>
      <c r="J151" s="103"/>
    </row>
    <row r="152" spans="2:10" x14ac:dyDescent="0.25">
      <c r="B152" s="103">
        <v>320</v>
      </c>
      <c r="C152" s="105">
        <v>3.2</v>
      </c>
      <c r="D152" s="105" t="b">
        <f t="shared" si="13"/>
        <v>0</v>
      </c>
      <c r="E152" s="103"/>
      <c r="F152" s="124">
        <f t="shared" si="12"/>
        <v>0</v>
      </c>
      <c r="G152" s="124">
        <v>0</v>
      </c>
      <c r="H152" s="103"/>
      <c r="I152" s="127">
        <f>185*G152-185</f>
        <v>-185</v>
      </c>
      <c r="J152" s="103"/>
    </row>
    <row r="153" spans="2:10" x14ac:dyDescent="0.25">
      <c r="B153" s="103">
        <v>321</v>
      </c>
      <c r="C153" s="105">
        <v>9.1</v>
      </c>
      <c r="D153" s="105" t="b">
        <f t="shared" si="13"/>
        <v>0</v>
      </c>
      <c r="E153" s="103">
        <v>1.44</v>
      </c>
      <c r="F153" s="124">
        <f t="shared" si="12"/>
        <v>2.0735999999999999</v>
      </c>
      <c r="G153" s="103"/>
      <c r="H153" s="103"/>
      <c r="I153" s="103"/>
      <c r="J153" s="103"/>
    </row>
    <row r="154" spans="2:10" x14ac:dyDescent="0.25">
      <c r="B154" s="103">
        <v>322</v>
      </c>
      <c r="C154" s="105">
        <v>7.1</v>
      </c>
      <c r="D154" s="105" t="b">
        <f t="shared" si="13"/>
        <v>0</v>
      </c>
      <c r="E154" s="103">
        <v>1.44</v>
      </c>
      <c r="F154" s="124">
        <f t="shared" si="12"/>
        <v>2.0735999999999999</v>
      </c>
      <c r="G154" s="103">
        <v>2.86</v>
      </c>
      <c r="H154" s="103"/>
      <c r="I154" s="127">
        <f>185*G154-185</f>
        <v>344.1</v>
      </c>
      <c r="J154" s="103"/>
    </row>
    <row r="155" spans="2:10" x14ac:dyDescent="0.25">
      <c r="B155" s="103">
        <v>323</v>
      </c>
      <c r="C155" s="105">
        <v>9.1</v>
      </c>
      <c r="D155" s="105" t="b">
        <f t="shared" si="13"/>
        <v>0</v>
      </c>
      <c r="E155" s="103">
        <v>1.44</v>
      </c>
      <c r="F155" s="124">
        <f t="shared" si="12"/>
        <v>0</v>
      </c>
      <c r="G155" s="126"/>
      <c r="H155" s="126"/>
      <c r="I155" s="103"/>
      <c r="J155" s="103"/>
    </row>
    <row r="156" spans="2:10" x14ac:dyDescent="0.25">
      <c r="B156" s="103">
        <v>324</v>
      </c>
      <c r="C156" s="105">
        <v>3.2</v>
      </c>
      <c r="D156" s="105"/>
      <c r="E156" s="103"/>
      <c r="F156" s="124">
        <f t="shared" si="12"/>
        <v>0</v>
      </c>
      <c r="G156" s="103"/>
      <c r="H156" s="103"/>
      <c r="I156" s="103"/>
      <c r="J156" s="103"/>
    </row>
    <row r="157" spans="2:10" x14ac:dyDescent="0.25">
      <c r="B157" s="103">
        <v>325</v>
      </c>
      <c r="C157" s="105">
        <v>3.2</v>
      </c>
      <c r="D157" s="105" t="b">
        <f t="shared" ref="D157:D193" si="14">C158=C157</f>
        <v>0</v>
      </c>
      <c r="E157" s="103"/>
      <c r="F157" s="124">
        <f t="shared" si="12"/>
        <v>0</v>
      </c>
      <c r="G157" s="103"/>
      <c r="H157" s="103"/>
      <c r="I157" s="103"/>
      <c r="J157" s="103"/>
    </row>
    <row r="158" spans="2:10" x14ac:dyDescent="0.25">
      <c r="B158" s="103">
        <v>326</v>
      </c>
      <c r="C158" s="105">
        <v>9.1</v>
      </c>
      <c r="D158" s="105" t="b">
        <f t="shared" si="14"/>
        <v>0</v>
      </c>
      <c r="E158" s="103">
        <v>1.44</v>
      </c>
      <c r="F158" s="124">
        <f t="shared" si="12"/>
        <v>2.0735999999999999</v>
      </c>
      <c r="G158" s="103"/>
      <c r="H158" s="103"/>
      <c r="I158" s="103"/>
      <c r="J158" s="103"/>
    </row>
    <row r="159" spans="2:10" x14ac:dyDescent="0.25">
      <c r="B159" s="103">
        <v>327</v>
      </c>
      <c r="C159" s="105">
        <v>5.9</v>
      </c>
      <c r="D159" s="105" t="b">
        <f t="shared" si="14"/>
        <v>1</v>
      </c>
      <c r="E159" s="103">
        <v>1.44</v>
      </c>
      <c r="F159" s="124">
        <f t="shared" si="12"/>
        <v>2.0735999999999999</v>
      </c>
      <c r="G159" s="103">
        <v>2.86</v>
      </c>
      <c r="H159" s="103"/>
      <c r="I159" s="127">
        <f>185*G159-185</f>
        <v>344.1</v>
      </c>
      <c r="J159" s="103"/>
    </row>
    <row r="160" spans="2:10" x14ac:dyDescent="0.25">
      <c r="B160" s="103">
        <v>328</v>
      </c>
      <c r="C160" s="105">
        <v>5.9</v>
      </c>
      <c r="D160" s="105" t="b">
        <f t="shared" si="14"/>
        <v>0</v>
      </c>
      <c r="E160" s="103">
        <v>1.44</v>
      </c>
      <c r="F160" s="124">
        <f t="shared" si="12"/>
        <v>0</v>
      </c>
      <c r="G160" s="126"/>
      <c r="H160" s="126"/>
      <c r="I160" s="103"/>
      <c r="J160" s="103"/>
    </row>
    <row r="161" spans="2:10" x14ac:dyDescent="0.25">
      <c r="B161" s="103">
        <v>329</v>
      </c>
      <c r="C161" s="105">
        <v>3.2</v>
      </c>
      <c r="D161" s="105" t="b">
        <f t="shared" si="14"/>
        <v>0</v>
      </c>
      <c r="E161" s="103"/>
      <c r="F161" s="124">
        <f t="shared" si="12"/>
        <v>0</v>
      </c>
      <c r="G161" s="103"/>
      <c r="H161" s="103"/>
      <c r="I161" s="103"/>
      <c r="J161" s="103"/>
    </row>
    <row r="162" spans="2:10" x14ac:dyDescent="0.25">
      <c r="B162" s="103">
        <v>330</v>
      </c>
      <c r="C162" s="105">
        <v>9.1</v>
      </c>
      <c r="D162" s="105" t="b">
        <f t="shared" si="14"/>
        <v>1</v>
      </c>
      <c r="E162" s="103">
        <v>1.44</v>
      </c>
      <c r="F162" s="124">
        <f t="shared" si="12"/>
        <v>2.0735999999999999</v>
      </c>
      <c r="G162" s="103"/>
      <c r="H162" s="103"/>
      <c r="I162" s="103"/>
      <c r="J162" s="103"/>
    </row>
    <row r="163" spans="2:10" x14ac:dyDescent="0.25">
      <c r="B163" s="103">
        <v>331</v>
      </c>
      <c r="C163" s="105">
        <v>9.1</v>
      </c>
      <c r="D163" s="105" t="b">
        <f t="shared" si="14"/>
        <v>0</v>
      </c>
      <c r="E163" s="103">
        <v>1.44</v>
      </c>
      <c r="F163" s="124">
        <f t="shared" ref="F163:F193" si="15">E163*E164</f>
        <v>2.0735999999999999</v>
      </c>
      <c r="G163" s="103">
        <v>2.86</v>
      </c>
      <c r="H163" s="103"/>
      <c r="I163" s="127">
        <f>185*G163-185</f>
        <v>344.1</v>
      </c>
      <c r="J163" s="103"/>
    </row>
    <row r="164" spans="2:10" x14ac:dyDescent="0.25">
      <c r="B164" s="103">
        <v>332</v>
      </c>
      <c r="C164" s="105">
        <v>9</v>
      </c>
      <c r="D164" s="105" t="b">
        <f t="shared" si="14"/>
        <v>0</v>
      </c>
      <c r="E164" s="103">
        <v>1.44</v>
      </c>
      <c r="F164" s="124">
        <f t="shared" si="15"/>
        <v>0</v>
      </c>
      <c r="G164" s="126"/>
      <c r="H164" s="126"/>
      <c r="I164" s="103"/>
      <c r="J164" s="103"/>
    </row>
    <row r="165" spans="2:10" x14ac:dyDescent="0.25">
      <c r="B165" s="103">
        <v>333</v>
      </c>
      <c r="C165" s="105">
        <v>3.2</v>
      </c>
      <c r="D165" s="105" t="b">
        <f t="shared" si="14"/>
        <v>0</v>
      </c>
      <c r="E165" s="103"/>
      <c r="F165" s="124">
        <f t="shared" si="15"/>
        <v>0</v>
      </c>
      <c r="G165" s="103"/>
      <c r="H165" s="103"/>
      <c r="I165" s="103"/>
      <c r="J165" s="103"/>
    </row>
    <row r="166" spans="2:10" x14ac:dyDescent="0.25">
      <c r="B166" s="103">
        <v>334</v>
      </c>
      <c r="C166" s="105">
        <v>6.1</v>
      </c>
      <c r="D166" s="105" t="b">
        <f t="shared" si="14"/>
        <v>0</v>
      </c>
      <c r="E166" s="103">
        <v>1.44</v>
      </c>
      <c r="F166" s="124">
        <f t="shared" si="15"/>
        <v>2.0735999999999999</v>
      </c>
      <c r="G166" s="103"/>
      <c r="H166" s="103"/>
      <c r="I166" s="103"/>
      <c r="J166" s="103"/>
    </row>
    <row r="167" spans="2:10" x14ac:dyDescent="0.25">
      <c r="B167" s="103">
        <v>335</v>
      </c>
      <c r="C167" s="105">
        <v>5.9</v>
      </c>
      <c r="D167" s="105" t="b">
        <f t="shared" si="14"/>
        <v>0</v>
      </c>
      <c r="E167" s="103">
        <v>1.44</v>
      </c>
      <c r="F167" s="124">
        <f t="shared" si="15"/>
        <v>2.0735999999999999</v>
      </c>
      <c r="G167" s="103">
        <v>2.86</v>
      </c>
      <c r="H167" s="103"/>
      <c r="I167" s="127">
        <f>185*G167-185</f>
        <v>344.1</v>
      </c>
      <c r="J167" s="103"/>
    </row>
    <row r="168" spans="2:10" x14ac:dyDescent="0.25">
      <c r="B168" s="103">
        <v>336</v>
      </c>
      <c r="C168" s="105">
        <v>9.1</v>
      </c>
      <c r="D168" s="105" t="b">
        <f t="shared" si="14"/>
        <v>0</v>
      </c>
      <c r="E168" s="103">
        <v>1.44</v>
      </c>
      <c r="F168" s="124">
        <f t="shared" si="15"/>
        <v>2.0735999999999999</v>
      </c>
      <c r="G168" s="126"/>
      <c r="H168" s="126"/>
      <c r="I168" s="103"/>
      <c r="J168" s="103"/>
    </row>
    <row r="169" spans="2:10" x14ac:dyDescent="0.25">
      <c r="B169" s="103">
        <v>337</v>
      </c>
      <c r="C169" s="105">
        <v>5.9</v>
      </c>
      <c r="D169" s="105" t="b">
        <f t="shared" si="14"/>
        <v>1</v>
      </c>
      <c r="E169" s="103">
        <v>1.44</v>
      </c>
      <c r="F169" s="124">
        <f t="shared" si="15"/>
        <v>2.0735999999999999</v>
      </c>
      <c r="G169" s="126"/>
      <c r="H169" s="103"/>
      <c r="I169" s="103"/>
      <c r="J169" s="103"/>
    </row>
    <row r="170" spans="2:10" x14ac:dyDescent="0.25">
      <c r="B170" s="103">
        <v>338</v>
      </c>
      <c r="C170" s="105">
        <v>5.9</v>
      </c>
      <c r="D170" s="105" t="b">
        <f t="shared" si="14"/>
        <v>1</v>
      </c>
      <c r="E170" s="103">
        <v>1.44</v>
      </c>
      <c r="F170" s="124">
        <f t="shared" si="15"/>
        <v>2.0735999999999999</v>
      </c>
      <c r="G170" s="126"/>
      <c r="H170" s="103"/>
      <c r="I170" s="103"/>
      <c r="J170" s="103"/>
    </row>
    <row r="171" spans="2:10" x14ac:dyDescent="0.25">
      <c r="B171" s="103">
        <v>339</v>
      </c>
      <c r="C171" s="105">
        <v>5.9</v>
      </c>
      <c r="D171" s="105" t="b">
        <f t="shared" si="14"/>
        <v>0</v>
      </c>
      <c r="E171" s="103">
        <v>1.44</v>
      </c>
      <c r="F171" s="124">
        <f t="shared" si="15"/>
        <v>2.0735999999999999</v>
      </c>
      <c r="G171" s="126"/>
      <c r="H171" s="103"/>
      <c r="I171" s="103"/>
      <c r="J171" s="103"/>
    </row>
    <row r="172" spans="2:10" x14ac:dyDescent="0.25">
      <c r="B172" s="103">
        <v>340</v>
      </c>
      <c r="C172" s="105">
        <v>6.1</v>
      </c>
      <c r="D172" s="105" t="b">
        <f t="shared" si="14"/>
        <v>1</v>
      </c>
      <c r="E172" s="103">
        <v>1.44</v>
      </c>
      <c r="F172" s="124">
        <f t="shared" si="15"/>
        <v>2.0735999999999999</v>
      </c>
      <c r="G172" s="126"/>
      <c r="H172" s="103"/>
      <c r="I172" s="103"/>
      <c r="J172" s="103"/>
    </row>
    <row r="173" spans="2:10" x14ac:dyDescent="0.25">
      <c r="B173" s="103">
        <v>342</v>
      </c>
      <c r="C173" s="105">
        <v>6.1</v>
      </c>
      <c r="D173" s="105" t="b">
        <f t="shared" si="14"/>
        <v>0</v>
      </c>
      <c r="E173" s="103">
        <v>1.44</v>
      </c>
      <c r="F173" s="124">
        <f t="shared" si="15"/>
        <v>0</v>
      </c>
      <c r="G173" s="126"/>
      <c r="H173" s="103"/>
      <c r="I173" s="103"/>
      <c r="J173" s="103"/>
    </row>
    <row r="174" spans="2:10" x14ac:dyDescent="0.25">
      <c r="B174" s="103">
        <v>343</v>
      </c>
      <c r="C174" s="105">
        <v>3.2</v>
      </c>
      <c r="D174" s="105" t="b">
        <f t="shared" si="14"/>
        <v>0</v>
      </c>
      <c r="E174" s="103"/>
      <c r="F174" s="124">
        <f t="shared" si="15"/>
        <v>0</v>
      </c>
      <c r="G174" s="103"/>
      <c r="H174" s="103"/>
      <c r="I174" s="103"/>
      <c r="J174" s="103"/>
    </row>
    <row r="175" spans="2:10" x14ac:dyDescent="0.25">
      <c r="B175" s="103">
        <v>344</v>
      </c>
      <c r="C175" s="105">
        <v>7.1</v>
      </c>
      <c r="D175" s="105" t="b">
        <f t="shared" si="14"/>
        <v>0</v>
      </c>
      <c r="E175" s="103">
        <v>1.44</v>
      </c>
      <c r="F175" s="124">
        <f t="shared" si="15"/>
        <v>2.0735999999999999</v>
      </c>
      <c r="G175" s="103"/>
      <c r="H175" s="103"/>
      <c r="I175" s="103"/>
      <c r="J175" s="103"/>
    </row>
    <row r="176" spans="2:10" x14ac:dyDescent="0.25">
      <c r="B176" s="103">
        <v>345</v>
      </c>
      <c r="C176" s="105">
        <v>9</v>
      </c>
      <c r="D176" s="105" t="b">
        <f t="shared" si="14"/>
        <v>0</v>
      </c>
      <c r="E176" s="103">
        <v>1.44</v>
      </c>
      <c r="F176" s="124">
        <f t="shared" si="15"/>
        <v>2.0735999999999999</v>
      </c>
      <c r="G176" s="103">
        <v>2.86</v>
      </c>
      <c r="H176" s="103"/>
      <c r="I176" s="127">
        <f>185*G176-185</f>
        <v>344.1</v>
      </c>
      <c r="J176" s="103"/>
    </row>
    <row r="177" spans="2:10" x14ac:dyDescent="0.25">
      <c r="B177" s="103">
        <v>346</v>
      </c>
      <c r="C177" s="105">
        <v>6.1</v>
      </c>
      <c r="D177" s="105" t="b">
        <f t="shared" si="14"/>
        <v>0</v>
      </c>
      <c r="E177" s="103">
        <v>1.44</v>
      </c>
      <c r="F177" s="124">
        <f t="shared" si="15"/>
        <v>2.0735999999999999</v>
      </c>
      <c r="G177" s="126"/>
      <c r="H177" s="126"/>
      <c r="I177" s="103"/>
      <c r="J177" s="103"/>
    </row>
    <row r="178" spans="2:10" x14ac:dyDescent="0.25">
      <c r="B178" s="103">
        <v>347</v>
      </c>
      <c r="C178" s="105">
        <v>9.1</v>
      </c>
      <c r="D178" s="105" t="b">
        <f t="shared" si="14"/>
        <v>0</v>
      </c>
      <c r="E178" s="103">
        <v>1.44</v>
      </c>
      <c r="F178" s="124">
        <f t="shared" si="15"/>
        <v>0</v>
      </c>
      <c r="G178" s="126"/>
      <c r="H178" s="103"/>
      <c r="I178" s="103"/>
      <c r="J178" s="103"/>
    </row>
    <row r="179" spans="2:10" x14ac:dyDescent="0.25">
      <c r="B179" s="103">
        <v>348</v>
      </c>
      <c r="C179" s="105">
        <v>3.2</v>
      </c>
      <c r="D179" s="105" t="b">
        <f t="shared" si="14"/>
        <v>0</v>
      </c>
      <c r="E179" s="103"/>
      <c r="F179" s="124">
        <f t="shared" si="15"/>
        <v>0</v>
      </c>
      <c r="G179" s="103"/>
      <c r="H179" s="103"/>
      <c r="I179" s="103"/>
      <c r="J179" s="103"/>
    </row>
    <row r="180" spans="2:10" x14ac:dyDescent="0.25">
      <c r="B180" s="103">
        <v>349</v>
      </c>
      <c r="C180" s="105">
        <v>7.1</v>
      </c>
      <c r="D180" s="105" t="b">
        <f t="shared" si="14"/>
        <v>0</v>
      </c>
      <c r="E180" s="103">
        <v>1.44</v>
      </c>
      <c r="F180" s="124">
        <f t="shared" si="15"/>
        <v>2.0735999999999999</v>
      </c>
      <c r="G180" s="103"/>
      <c r="H180" s="103"/>
      <c r="I180" s="103"/>
      <c r="J180" s="103"/>
    </row>
    <row r="181" spans="2:10" x14ac:dyDescent="0.25">
      <c r="B181" s="103">
        <v>350</v>
      </c>
      <c r="C181" s="105">
        <v>6.1</v>
      </c>
      <c r="D181" s="105" t="b">
        <f t="shared" si="14"/>
        <v>0</v>
      </c>
      <c r="E181" s="103">
        <v>1.44</v>
      </c>
      <c r="F181" s="124">
        <f t="shared" si="15"/>
        <v>0</v>
      </c>
      <c r="G181" s="103">
        <v>2.86</v>
      </c>
      <c r="H181" s="103"/>
      <c r="I181" s="127">
        <f>185*G181-185</f>
        <v>344.1</v>
      </c>
      <c r="J181" s="103"/>
    </row>
    <row r="182" spans="2:10" x14ac:dyDescent="0.25">
      <c r="B182" s="103">
        <v>351</v>
      </c>
      <c r="C182" s="105">
        <v>3.2</v>
      </c>
      <c r="D182" s="105" t="b">
        <f t="shared" si="14"/>
        <v>0</v>
      </c>
      <c r="E182" s="103"/>
      <c r="F182" s="124">
        <f t="shared" si="15"/>
        <v>0</v>
      </c>
      <c r="G182" s="103"/>
      <c r="H182" s="103"/>
      <c r="I182" s="103"/>
      <c r="J182" s="103"/>
    </row>
    <row r="183" spans="2:10" x14ac:dyDescent="0.25">
      <c r="B183" s="103">
        <v>352</v>
      </c>
      <c r="C183" s="105">
        <v>5.9</v>
      </c>
      <c r="D183" s="105" t="b">
        <f t="shared" si="14"/>
        <v>0</v>
      </c>
      <c r="E183" s="103">
        <v>1.44</v>
      </c>
      <c r="F183" s="124">
        <f t="shared" si="15"/>
        <v>2.0735999999999999</v>
      </c>
      <c r="G183" s="103"/>
      <c r="H183" s="103"/>
      <c r="I183" s="103"/>
      <c r="J183" s="103"/>
    </row>
    <row r="184" spans="2:10" x14ac:dyDescent="0.25">
      <c r="B184" s="103">
        <v>353</v>
      </c>
      <c r="C184" s="105">
        <v>7.1</v>
      </c>
      <c r="D184" s="105" t="b">
        <f t="shared" si="14"/>
        <v>0</v>
      </c>
      <c r="E184" s="103">
        <v>1.44</v>
      </c>
      <c r="F184" s="124">
        <f t="shared" si="15"/>
        <v>2.0735999999999999</v>
      </c>
      <c r="G184" s="103">
        <v>2.86</v>
      </c>
      <c r="H184" s="103"/>
      <c r="I184" s="127">
        <f>185*G184-185</f>
        <v>344.1</v>
      </c>
      <c r="J184" s="103"/>
    </row>
    <row r="185" spans="2:10" x14ac:dyDescent="0.25">
      <c r="B185" s="103">
        <v>354</v>
      </c>
      <c r="C185" s="105">
        <v>9</v>
      </c>
      <c r="D185" s="105" t="b">
        <f t="shared" si="14"/>
        <v>0</v>
      </c>
      <c r="E185" s="103">
        <v>1.44</v>
      </c>
      <c r="F185" s="124">
        <f t="shared" si="15"/>
        <v>2.0735999999999999</v>
      </c>
      <c r="G185" s="126"/>
      <c r="H185" s="126"/>
      <c r="I185" s="103"/>
      <c r="J185" s="103"/>
    </row>
    <row r="186" spans="2:10" x14ac:dyDescent="0.25">
      <c r="B186" s="103">
        <v>355</v>
      </c>
      <c r="C186" s="105">
        <v>5.9</v>
      </c>
      <c r="D186" s="105" t="b">
        <f t="shared" si="14"/>
        <v>0</v>
      </c>
      <c r="E186" s="103">
        <v>1.44</v>
      </c>
      <c r="F186" s="124">
        <f t="shared" si="15"/>
        <v>2.0735999999999999</v>
      </c>
      <c r="G186" s="126"/>
      <c r="H186" s="103"/>
      <c r="I186" s="103"/>
      <c r="J186" s="103"/>
    </row>
    <row r="187" spans="2:10" x14ac:dyDescent="0.25">
      <c r="B187" s="103">
        <v>356</v>
      </c>
      <c r="C187" s="105">
        <v>9</v>
      </c>
      <c r="D187" s="105" t="b">
        <f t="shared" si="14"/>
        <v>0</v>
      </c>
      <c r="E187" s="103">
        <v>1.44</v>
      </c>
      <c r="F187" s="124">
        <f t="shared" si="15"/>
        <v>0</v>
      </c>
      <c r="G187" s="126"/>
      <c r="H187" s="103"/>
      <c r="I187" s="103"/>
      <c r="J187" s="103"/>
    </row>
    <row r="188" spans="2:10" x14ac:dyDescent="0.25">
      <c r="B188" s="103">
        <v>357</v>
      </c>
      <c r="C188" s="105">
        <v>3.2</v>
      </c>
      <c r="D188" s="105" t="b">
        <f t="shared" si="14"/>
        <v>0</v>
      </c>
      <c r="E188" s="103"/>
      <c r="F188" s="124">
        <f t="shared" si="15"/>
        <v>0</v>
      </c>
      <c r="G188" s="103"/>
      <c r="H188" s="103"/>
      <c r="I188" s="103"/>
      <c r="J188" s="103"/>
    </row>
    <row r="189" spans="2:10" x14ac:dyDescent="0.25">
      <c r="B189" s="103">
        <v>358</v>
      </c>
      <c r="C189" s="105">
        <v>7.1</v>
      </c>
      <c r="D189" s="105" t="b">
        <f t="shared" si="14"/>
        <v>1</v>
      </c>
      <c r="E189" s="103">
        <v>1.44</v>
      </c>
      <c r="F189" s="124">
        <f t="shared" si="15"/>
        <v>2.0735999999999999</v>
      </c>
      <c r="G189" s="103"/>
      <c r="H189" s="103"/>
      <c r="I189" s="103"/>
      <c r="J189" s="103"/>
    </row>
    <row r="190" spans="2:10" x14ac:dyDescent="0.25">
      <c r="B190" s="103">
        <v>359</v>
      </c>
      <c r="C190" s="105">
        <v>7.1</v>
      </c>
      <c r="D190" s="105" t="b">
        <f t="shared" si="14"/>
        <v>0</v>
      </c>
      <c r="E190" s="103">
        <v>1.44</v>
      </c>
      <c r="F190" s="124">
        <f t="shared" si="15"/>
        <v>0</v>
      </c>
      <c r="G190" s="103">
        <v>2.86</v>
      </c>
      <c r="H190" s="103"/>
      <c r="I190" s="127">
        <f>185*G190-185</f>
        <v>344.1</v>
      </c>
      <c r="J190" s="103"/>
    </row>
    <row r="191" spans="2:10" x14ac:dyDescent="0.25">
      <c r="B191" s="103">
        <v>360</v>
      </c>
      <c r="C191" s="105">
        <v>3.2</v>
      </c>
      <c r="D191" s="105" t="b">
        <f t="shared" si="14"/>
        <v>0</v>
      </c>
      <c r="E191" s="103"/>
      <c r="F191" s="124">
        <f t="shared" si="15"/>
        <v>0</v>
      </c>
      <c r="G191" s="126"/>
      <c r="H191" s="126"/>
      <c r="I191" s="103"/>
      <c r="J191" s="103"/>
    </row>
    <row r="192" spans="2:10" x14ac:dyDescent="0.25">
      <c r="B192" s="103">
        <v>361</v>
      </c>
      <c r="C192" s="105">
        <v>5.9</v>
      </c>
      <c r="D192" s="105" t="b">
        <f t="shared" si="14"/>
        <v>0</v>
      </c>
      <c r="E192" s="103">
        <v>1.44</v>
      </c>
      <c r="F192" s="124">
        <f t="shared" si="15"/>
        <v>0</v>
      </c>
      <c r="G192" s="103"/>
      <c r="H192" s="103"/>
      <c r="I192" s="103"/>
      <c r="J192" s="103"/>
    </row>
    <row r="193" spans="2:10" x14ac:dyDescent="0.25">
      <c r="B193" s="103">
        <v>362</v>
      </c>
      <c r="C193" s="105">
        <v>3.2</v>
      </c>
      <c r="D193" s="105" t="b">
        <f t="shared" si="14"/>
        <v>0</v>
      </c>
      <c r="E193" s="103"/>
      <c r="F193" s="124">
        <f t="shared" si="15"/>
        <v>0</v>
      </c>
      <c r="G193" s="124">
        <v>0</v>
      </c>
      <c r="H193" s="103"/>
      <c r="I193" s="127">
        <f>185*G193-185</f>
        <v>-185</v>
      </c>
      <c r="J193" s="103"/>
    </row>
  </sheetData>
  <autoFilter ref="B2:J193" xr:uid="{00000000-0009-0000-0000-000003000000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filterMode="1"/>
  <dimension ref="F1:R1002"/>
  <sheetViews>
    <sheetView workbookViewId="0">
      <pane ySplit="4" topLeftCell="A8" activePane="bottomLeft" state="frozen"/>
      <selection pane="bottomLeft" activeCell="J27" sqref="J27"/>
    </sheetView>
  </sheetViews>
  <sheetFormatPr defaultRowHeight="15" x14ac:dyDescent="0.25"/>
  <cols>
    <col min="6" max="6" width="9.140625" style="85"/>
    <col min="7" max="7" width="10.140625" bestFit="1" customWidth="1"/>
    <col min="8" max="8" width="9.5703125" style="85" bestFit="1" customWidth="1"/>
    <col min="9" max="9" width="9.28515625" style="85" customWidth="1"/>
    <col min="10" max="10" width="9.28515625" style="92" customWidth="1"/>
    <col min="11" max="11" width="11" style="92" customWidth="1"/>
    <col min="12" max="12" width="11.85546875" style="92" bestFit="1" customWidth="1"/>
    <col min="13" max="14" width="11" style="92" customWidth="1"/>
    <col min="15" max="15" width="12" style="92" bestFit="1" customWidth="1"/>
    <col min="16" max="16" width="10.42578125" bestFit="1" customWidth="1"/>
    <col min="18" max="18" width="12" bestFit="1" customWidth="1"/>
  </cols>
  <sheetData>
    <row r="1" spans="6:18" x14ac:dyDescent="0.25">
      <c r="G1" s="89"/>
      <c r="H1" s="135"/>
      <c r="I1" s="135"/>
      <c r="K1" s="102"/>
      <c r="L1" s="102"/>
      <c r="M1" s="102"/>
      <c r="N1" s="102"/>
      <c r="O1" s="102"/>
      <c r="P1">
        <v>16</v>
      </c>
      <c r="Q1">
        <v>3</v>
      </c>
      <c r="R1" s="88">
        <f>Q1*6.4-P1</f>
        <v>3.2000000000000028</v>
      </c>
    </row>
    <row r="2" spans="6:18" x14ac:dyDescent="0.25">
      <c r="L2" s="102"/>
      <c r="O2" s="102"/>
      <c r="Q2">
        <v>500</v>
      </c>
      <c r="R2" s="90">
        <f>R1*Q2</f>
        <v>1600.0000000000014</v>
      </c>
    </row>
    <row r="3" spans="6:18" x14ac:dyDescent="0.25">
      <c r="G3">
        <f>COUNT(G5:G1002)</f>
        <v>240</v>
      </c>
      <c r="I3" s="114">
        <f t="shared" ref="I3:N3" si="0">SUBTOTAL(9,I5:I1002)</f>
        <v>216.89999999999995</v>
      </c>
      <c r="J3" s="114">
        <f t="shared" si="0"/>
        <v>237.90000000000009</v>
      </c>
      <c r="K3" s="114">
        <f t="shared" si="0"/>
        <v>16790</v>
      </c>
      <c r="L3" s="114">
        <f t="shared" si="0"/>
        <v>0</v>
      </c>
      <c r="M3" s="114">
        <f t="shared" si="0"/>
        <v>0</v>
      </c>
      <c r="N3" s="114">
        <f t="shared" si="0"/>
        <v>0</v>
      </c>
      <c r="O3" s="114"/>
    </row>
    <row r="4" spans="6:18" s="132" customFormat="1" ht="30.75" customHeight="1" x14ac:dyDescent="0.25">
      <c r="F4" s="140"/>
      <c r="G4" s="130" t="s">
        <v>14</v>
      </c>
      <c r="H4" s="131" t="s">
        <v>15</v>
      </c>
      <c r="I4" s="131" t="s">
        <v>16</v>
      </c>
      <c r="J4" s="137"/>
      <c r="K4" s="137"/>
      <c r="L4" s="137"/>
      <c r="M4" s="137"/>
      <c r="N4" s="137"/>
      <c r="O4" s="137"/>
      <c r="P4" s="141"/>
    </row>
    <row r="5" spans="6:18" hidden="1" x14ac:dyDescent="0.25">
      <c r="G5" s="134">
        <v>44356</v>
      </c>
      <c r="H5" s="136">
        <v>875</v>
      </c>
      <c r="I5" s="133"/>
      <c r="J5" s="138"/>
      <c r="K5" s="138"/>
      <c r="L5" s="138"/>
      <c r="M5" s="138"/>
      <c r="N5" s="138"/>
      <c r="O5" s="138"/>
    </row>
    <row r="6" spans="6:18" hidden="1" x14ac:dyDescent="0.25">
      <c r="G6" s="134">
        <v>44356</v>
      </c>
      <c r="H6" s="136">
        <f>H5+1</f>
        <v>876</v>
      </c>
      <c r="I6" s="133"/>
      <c r="J6" s="138"/>
      <c r="K6" s="138"/>
      <c r="L6" s="138"/>
      <c r="M6" s="138"/>
      <c r="N6" s="138"/>
      <c r="O6" s="138"/>
    </row>
    <row r="7" spans="6:18" hidden="1" x14ac:dyDescent="0.25">
      <c r="G7" s="144">
        <v>44356</v>
      </c>
      <c r="H7" s="136">
        <f t="shared" ref="H7:H70" si="1">H6+1</f>
        <v>877</v>
      </c>
      <c r="I7" s="133">
        <v>9</v>
      </c>
      <c r="J7" s="138"/>
      <c r="K7" s="138"/>
      <c r="L7" s="138"/>
      <c r="M7" s="138"/>
      <c r="N7" s="138"/>
      <c r="O7" s="138"/>
    </row>
    <row r="8" spans="6:18" x14ac:dyDescent="0.25">
      <c r="G8" s="144">
        <v>44356</v>
      </c>
      <c r="H8" s="136">
        <f t="shared" si="1"/>
        <v>878</v>
      </c>
      <c r="I8" s="133"/>
      <c r="J8" s="138">
        <v>0</v>
      </c>
      <c r="K8" s="136">
        <f>100*J8-100</f>
        <v>-100</v>
      </c>
      <c r="L8" s="138"/>
      <c r="M8" s="136"/>
      <c r="N8" s="138"/>
      <c r="O8" s="138"/>
    </row>
    <row r="9" spans="6:18" hidden="1" x14ac:dyDescent="0.25">
      <c r="G9" s="144">
        <v>44356</v>
      </c>
      <c r="H9" s="136">
        <f t="shared" si="1"/>
        <v>879</v>
      </c>
      <c r="I9" s="133"/>
      <c r="J9" s="138"/>
      <c r="K9" s="138"/>
      <c r="L9" s="138"/>
      <c r="M9" s="138"/>
      <c r="N9" s="138"/>
      <c r="O9" s="138"/>
    </row>
    <row r="10" spans="6:18" hidden="1" x14ac:dyDescent="0.25">
      <c r="G10" s="144">
        <v>44356</v>
      </c>
      <c r="H10" s="136">
        <f t="shared" si="1"/>
        <v>880</v>
      </c>
      <c r="I10" s="133"/>
      <c r="J10" s="138"/>
      <c r="K10" s="138"/>
      <c r="L10" s="138"/>
      <c r="M10" s="138"/>
      <c r="N10" s="138"/>
      <c r="O10" s="138"/>
    </row>
    <row r="11" spans="6:18" hidden="1" x14ac:dyDescent="0.25">
      <c r="G11" s="144">
        <v>44356</v>
      </c>
      <c r="H11" s="136">
        <f t="shared" si="1"/>
        <v>881</v>
      </c>
      <c r="I11" s="133"/>
      <c r="J11" s="138"/>
      <c r="K11" s="138"/>
      <c r="L11" s="138"/>
      <c r="M11" s="138"/>
      <c r="N11" s="138"/>
      <c r="O11" s="138"/>
    </row>
    <row r="12" spans="6:18" hidden="1" x14ac:dyDescent="0.25">
      <c r="G12" s="144">
        <v>44356</v>
      </c>
      <c r="H12" s="136">
        <f t="shared" si="1"/>
        <v>882</v>
      </c>
      <c r="I12" s="133">
        <v>9.1</v>
      </c>
      <c r="J12" s="138"/>
      <c r="K12" s="138"/>
      <c r="L12" s="136"/>
      <c r="M12" s="138"/>
      <c r="N12" s="138"/>
      <c r="O12" s="138"/>
    </row>
    <row r="13" spans="6:18" x14ac:dyDescent="0.25">
      <c r="F13" s="135"/>
      <c r="G13" s="144">
        <v>44356</v>
      </c>
      <c r="H13" s="136">
        <f t="shared" si="1"/>
        <v>883</v>
      </c>
      <c r="I13" s="133">
        <v>9</v>
      </c>
      <c r="J13" s="138">
        <v>0</v>
      </c>
      <c r="K13" s="136">
        <f>100*J13-100</f>
        <v>-100</v>
      </c>
      <c r="L13" s="138"/>
      <c r="M13" s="136"/>
      <c r="N13" s="138"/>
      <c r="O13" s="138"/>
    </row>
    <row r="14" spans="6:18" x14ac:dyDescent="0.25">
      <c r="G14" s="144">
        <v>44356</v>
      </c>
      <c r="H14" s="136">
        <f t="shared" si="1"/>
        <v>884</v>
      </c>
      <c r="I14" s="133"/>
      <c r="J14" s="138">
        <v>0</v>
      </c>
      <c r="K14" s="136">
        <f>100*J14-100</f>
        <v>-100</v>
      </c>
      <c r="L14" s="136"/>
      <c r="M14" s="136"/>
      <c r="N14" s="138"/>
      <c r="O14" s="138"/>
    </row>
    <row r="15" spans="6:18" hidden="1" x14ac:dyDescent="0.25">
      <c r="G15" s="144">
        <v>44356</v>
      </c>
      <c r="H15" s="136">
        <f t="shared" si="1"/>
        <v>885</v>
      </c>
      <c r="I15" s="133"/>
      <c r="J15" s="138"/>
      <c r="K15" s="138"/>
      <c r="L15" s="138"/>
      <c r="M15" s="138"/>
      <c r="N15" s="138"/>
      <c r="O15" s="138"/>
    </row>
    <row r="16" spans="6:18" hidden="1" x14ac:dyDescent="0.25">
      <c r="G16" s="144">
        <v>44356</v>
      </c>
      <c r="H16" s="136">
        <f t="shared" si="1"/>
        <v>886</v>
      </c>
      <c r="I16" s="133"/>
      <c r="J16" s="138"/>
      <c r="K16" s="138"/>
      <c r="L16" s="138"/>
      <c r="M16" s="138"/>
      <c r="N16" s="136"/>
      <c r="O16" s="138"/>
    </row>
    <row r="17" spans="6:15" hidden="1" x14ac:dyDescent="0.25">
      <c r="G17" s="144">
        <v>44356</v>
      </c>
      <c r="H17" s="136">
        <f t="shared" si="1"/>
        <v>887</v>
      </c>
      <c r="I17" s="133"/>
      <c r="J17" s="138"/>
      <c r="K17" s="138"/>
      <c r="L17" s="138"/>
      <c r="M17" s="138"/>
      <c r="N17" s="138"/>
      <c r="O17" s="138"/>
    </row>
    <row r="18" spans="6:15" hidden="1" x14ac:dyDescent="0.25">
      <c r="G18" s="144">
        <v>44356</v>
      </c>
      <c r="H18" s="136">
        <f t="shared" si="1"/>
        <v>888</v>
      </c>
      <c r="I18" s="133">
        <v>9</v>
      </c>
      <c r="J18" s="138"/>
      <c r="K18" s="138"/>
      <c r="L18" s="138"/>
      <c r="M18" s="138"/>
      <c r="N18" s="136"/>
      <c r="O18" s="138"/>
    </row>
    <row r="19" spans="6:15" x14ac:dyDescent="0.25">
      <c r="G19" s="144">
        <v>44356</v>
      </c>
      <c r="H19" s="136">
        <f t="shared" si="1"/>
        <v>889</v>
      </c>
      <c r="I19" s="133"/>
      <c r="J19" s="138">
        <v>0</v>
      </c>
      <c r="K19" s="136">
        <f>100*J19-100</f>
        <v>-100</v>
      </c>
      <c r="L19" s="138"/>
      <c r="M19" s="136"/>
      <c r="N19" s="138"/>
      <c r="O19" s="138"/>
    </row>
    <row r="20" spans="6:15" hidden="1" x14ac:dyDescent="0.25">
      <c r="G20" s="144">
        <v>44356</v>
      </c>
      <c r="H20" s="136">
        <f t="shared" si="1"/>
        <v>890</v>
      </c>
      <c r="I20" s="133"/>
      <c r="J20" s="138"/>
      <c r="K20" s="138"/>
      <c r="L20" s="138"/>
      <c r="M20" s="138"/>
      <c r="N20" s="136"/>
      <c r="O20" s="138"/>
    </row>
    <row r="21" spans="6:15" hidden="1" x14ac:dyDescent="0.25">
      <c r="G21" s="144">
        <v>44356</v>
      </c>
      <c r="H21" s="136">
        <f t="shared" si="1"/>
        <v>891</v>
      </c>
      <c r="I21" s="133">
        <v>9</v>
      </c>
      <c r="J21" s="138"/>
      <c r="K21" s="138"/>
      <c r="L21" s="138"/>
      <c r="M21" s="138"/>
      <c r="N21" s="138"/>
      <c r="O21" s="138"/>
    </row>
    <row r="22" spans="6:15" x14ac:dyDescent="0.25">
      <c r="G22" s="144">
        <v>44356</v>
      </c>
      <c r="H22" s="136">
        <f t="shared" si="1"/>
        <v>892</v>
      </c>
      <c r="I22" s="133">
        <v>9</v>
      </c>
      <c r="J22" s="138">
        <v>15.86</v>
      </c>
      <c r="K22" s="136">
        <f>100*J22-100</f>
        <v>1486</v>
      </c>
      <c r="L22" s="138"/>
      <c r="M22" s="136"/>
      <c r="N22" s="136"/>
      <c r="O22" s="138"/>
    </row>
    <row r="23" spans="6:15" x14ac:dyDescent="0.25">
      <c r="G23" s="144">
        <v>44356</v>
      </c>
      <c r="H23" s="136">
        <f t="shared" si="1"/>
        <v>893</v>
      </c>
      <c r="I23" s="133"/>
      <c r="J23" s="138">
        <v>0</v>
      </c>
      <c r="K23" s="136">
        <f>100*J23-100</f>
        <v>-100</v>
      </c>
      <c r="L23" s="138"/>
      <c r="M23" s="136"/>
      <c r="N23" s="138"/>
      <c r="O23" s="138"/>
    </row>
    <row r="24" spans="6:15" hidden="1" x14ac:dyDescent="0.25">
      <c r="G24" s="144">
        <v>44356</v>
      </c>
      <c r="H24" s="136">
        <f t="shared" si="1"/>
        <v>894</v>
      </c>
      <c r="I24" s="133"/>
      <c r="J24" s="138"/>
      <c r="K24" s="138"/>
      <c r="L24" s="138"/>
      <c r="M24" s="138"/>
      <c r="N24" s="136"/>
      <c r="O24" s="138"/>
    </row>
    <row r="25" spans="6:15" hidden="1" x14ac:dyDescent="0.25">
      <c r="F25" s="135"/>
      <c r="G25" s="144">
        <v>44356</v>
      </c>
      <c r="H25" s="136">
        <f t="shared" si="1"/>
        <v>895</v>
      </c>
      <c r="I25" s="133"/>
      <c r="J25" s="138"/>
      <c r="K25" s="138"/>
      <c r="L25" s="138"/>
      <c r="M25" s="138"/>
      <c r="N25" s="138"/>
      <c r="O25" s="138"/>
    </row>
    <row r="26" spans="6:15" hidden="1" x14ac:dyDescent="0.25">
      <c r="G26" s="144">
        <v>44356</v>
      </c>
      <c r="H26" s="136">
        <f t="shared" si="1"/>
        <v>896</v>
      </c>
      <c r="I26" s="133">
        <v>9</v>
      </c>
      <c r="J26" s="138"/>
      <c r="K26" s="138"/>
      <c r="L26" s="136"/>
      <c r="M26" s="138"/>
      <c r="N26" s="138"/>
      <c r="O26" s="138"/>
    </row>
    <row r="27" spans="6:15" x14ac:dyDescent="0.25">
      <c r="F27" s="135"/>
      <c r="G27" s="144">
        <v>44356</v>
      </c>
      <c r="H27" s="136">
        <f t="shared" si="1"/>
        <v>897</v>
      </c>
      <c r="I27" s="133"/>
      <c r="J27" s="138">
        <v>0</v>
      </c>
      <c r="K27" s="136">
        <f>100*J27-100</f>
        <v>-100</v>
      </c>
      <c r="L27" s="138"/>
      <c r="M27" s="136"/>
      <c r="N27" s="138"/>
      <c r="O27" s="138"/>
    </row>
    <row r="28" spans="6:15" hidden="1" x14ac:dyDescent="0.25">
      <c r="G28" s="144">
        <v>44356</v>
      </c>
      <c r="H28" s="136">
        <f t="shared" si="1"/>
        <v>898</v>
      </c>
      <c r="I28" s="133"/>
      <c r="J28" s="138"/>
      <c r="K28" s="138"/>
      <c r="L28" s="136"/>
      <c r="M28" s="138"/>
      <c r="N28" s="138"/>
      <c r="O28" s="138"/>
    </row>
    <row r="29" spans="6:15" hidden="1" x14ac:dyDescent="0.25">
      <c r="F29" s="135"/>
      <c r="G29" s="144">
        <v>44356</v>
      </c>
      <c r="H29" s="136">
        <f t="shared" si="1"/>
        <v>899</v>
      </c>
      <c r="I29" s="133"/>
      <c r="J29" s="138"/>
      <c r="K29" s="138"/>
      <c r="L29" s="138"/>
      <c r="M29" s="138"/>
      <c r="N29" s="136"/>
      <c r="O29" s="138"/>
    </row>
    <row r="30" spans="6:15" hidden="1" x14ac:dyDescent="0.25">
      <c r="G30" s="144">
        <v>44356</v>
      </c>
      <c r="H30" s="136">
        <f t="shared" si="1"/>
        <v>900</v>
      </c>
      <c r="I30" s="133"/>
      <c r="J30" s="138"/>
      <c r="K30" s="138"/>
      <c r="L30" s="136"/>
      <c r="M30" s="138"/>
      <c r="N30" s="138"/>
      <c r="O30" s="138"/>
    </row>
    <row r="31" spans="6:15" hidden="1" x14ac:dyDescent="0.25">
      <c r="G31" s="144">
        <v>44356</v>
      </c>
      <c r="H31" s="136">
        <f t="shared" si="1"/>
        <v>901</v>
      </c>
      <c r="I31" s="133"/>
      <c r="J31" s="138"/>
      <c r="K31" s="138"/>
      <c r="L31" s="138"/>
      <c r="M31" s="138"/>
      <c r="N31" s="138"/>
      <c r="O31" s="138"/>
    </row>
    <row r="32" spans="6:15" hidden="1" x14ac:dyDescent="0.25">
      <c r="G32" s="144">
        <v>44356</v>
      </c>
      <c r="H32" s="136">
        <f t="shared" si="1"/>
        <v>902</v>
      </c>
      <c r="I32" s="133"/>
      <c r="J32" s="138"/>
      <c r="K32" s="138"/>
      <c r="L32" s="138"/>
      <c r="M32" s="138"/>
      <c r="N32" s="138"/>
      <c r="O32" s="138"/>
    </row>
    <row r="33" spans="6:15" hidden="1" x14ac:dyDescent="0.25">
      <c r="G33" s="144">
        <v>44356</v>
      </c>
      <c r="H33" s="136">
        <f t="shared" si="1"/>
        <v>903</v>
      </c>
      <c r="I33" s="133"/>
      <c r="J33" s="138"/>
      <c r="K33" s="138"/>
      <c r="L33" s="138"/>
      <c r="M33" s="138"/>
      <c r="N33" s="138"/>
      <c r="O33" s="138"/>
    </row>
    <row r="34" spans="6:15" hidden="1" x14ac:dyDescent="0.25">
      <c r="F34" s="135"/>
      <c r="G34" s="144">
        <v>44356</v>
      </c>
      <c r="H34" s="136">
        <f t="shared" si="1"/>
        <v>904</v>
      </c>
      <c r="I34" s="133"/>
      <c r="J34" s="138"/>
      <c r="K34" s="138"/>
      <c r="L34" s="138"/>
      <c r="M34" s="138"/>
      <c r="N34" s="138"/>
      <c r="O34" s="138"/>
    </row>
    <row r="35" spans="6:15" hidden="1" x14ac:dyDescent="0.25">
      <c r="G35" s="144">
        <v>44356</v>
      </c>
      <c r="H35" s="136">
        <f t="shared" si="1"/>
        <v>905</v>
      </c>
      <c r="I35" s="133"/>
      <c r="J35" s="138"/>
      <c r="K35" s="138"/>
      <c r="L35" s="136"/>
      <c r="M35" s="138"/>
      <c r="N35" s="138"/>
      <c r="O35" s="138"/>
    </row>
    <row r="36" spans="6:15" hidden="1" x14ac:dyDescent="0.25">
      <c r="G36" s="144">
        <v>44356</v>
      </c>
      <c r="H36" s="136">
        <f t="shared" si="1"/>
        <v>906</v>
      </c>
      <c r="I36" s="133"/>
      <c r="J36" s="138"/>
      <c r="K36" s="138"/>
      <c r="L36" s="138"/>
      <c r="M36" s="138"/>
      <c r="N36" s="136"/>
      <c r="O36" s="138"/>
    </row>
    <row r="37" spans="6:15" hidden="1" x14ac:dyDescent="0.25">
      <c r="G37" s="144">
        <v>44356</v>
      </c>
      <c r="H37" s="136">
        <f t="shared" si="1"/>
        <v>907</v>
      </c>
      <c r="I37" s="133"/>
      <c r="J37" s="138"/>
      <c r="K37" s="138"/>
      <c r="L37" s="138"/>
      <c r="M37" s="138"/>
      <c r="N37" s="138"/>
      <c r="O37" s="138"/>
    </row>
    <row r="38" spans="6:15" hidden="1" x14ac:dyDescent="0.25">
      <c r="G38" s="144">
        <v>44356</v>
      </c>
      <c r="H38" s="136">
        <f t="shared" si="1"/>
        <v>908</v>
      </c>
      <c r="I38" s="133"/>
      <c r="J38" s="138"/>
      <c r="K38" s="138"/>
      <c r="L38" s="138"/>
      <c r="M38" s="138"/>
      <c r="N38" s="138"/>
      <c r="O38" s="138"/>
    </row>
    <row r="39" spans="6:15" hidden="1" x14ac:dyDescent="0.25">
      <c r="G39" s="144">
        <v>44356</v>
      </c>
      <c r="H39" s="136">
        <f t="shared" si="1"/>
        <v>909</v>
      </c>
      <c r="I39" s="133"/>
      <c r="J39" s="138"/>
      <c r="K39" s="138"/>
      <c r="L39" s="138"/>
      <c r="M39" s="138"/>
      <c r="N39" s="138"/>
      <c r="O39" s="138"/>
    </row>
    <row r="40" spans="6:15" hidden="1" x14ac:dyDescent="0.25">
      <c r="F40" s="135"/>
      <c r="G40" s="144">
        <v>44356</v>
      </c>
      <c r="H40" s="136">
        <f t="shared" si="1"/>
        <v>910</v>
      </c>
      <c r="I40" s="133"/>
      <c r="J40" s="138"/>
      <c r="K40" s="138"/>
      <c r="L40" s="138"/>
      <c r="M40" s="138"/>
      <c r="N40" s="138"/>
      <c r="O40" s="138"/>
    </row>
    <row r="41" spans="6:15" hidden="1" x14ac:dyDescent="0.25">
      <c r="G41" s="144">
        <v>44356</v>
      </c>
      <c r="H41" s="136">
        <f t="shared" si="1"/>
        <v>911</v>
      </c>
      <c r="I41" s="133"/>
      <c r="J41" s="138"/>
      <c r="K41" s="138"/>
      <c r="L41" s="136"/>
      <c r="M41" s="138"/>
      <c r="N41" s="138"/>
      <c r="O41" s="138"/>
    </row>
    <row r="42" spans="6:15" hidden="1" x14ac:dyDescent="0.25">
      <c r="G42" s="144">
        <v>44356</v>
      </c>
      <c r="H42" s="136">
        <f t="shared" si="1"/>
        <v>912</v>
      </c>
      <c r="I42" s="133"/>
      <c r="J42" s="138"/>
      <c r="K42" s="138"/>
      <c r="L42" s="138"/>
      <c r="M42" s="138"/>
      <c r="N42" s="136"/>
      <c r="O42" s="138"/>
    </row>
    <row r="43" spans="6:15" hidden="1" x14ac:dyDescent="0.25">
      <c r="F43" s="135"/>
      <c r="G43" s="144">
        <v>44356</v>
      </c>
      <c r="H43" s="136">
        <f t="shared" si="1"/>
        <v>913</v>
      </c>
      <c r="I43" s="133">
        <v>9</v>
      </c>
      <c r="J43" s="138"/>
      <c r="K43" s="138"/>
      <c r="L43" s="138"/>
      <c r="M43" s="138"/>
      <c r="N43" s="138"/>
      <c r="O43" s="138"/>
    </row>
    <row r="44" spans="6:15" x14ac:dyDescent="0.25">
      <c r="G44" s="144">
        <v>44356</v>
      </c>
      <c r="H44" s="136">
        <f t="shared" si="1"/>
        <v>914</v>
      </c>
      <c r="I44" s="133"/>
      <c r="J44" s="138">
        <v>0</v>
      </c>
      <c r="K44" s="136">
        <f>100*J44-100</f>
        <v>-100</v>
      </c>
      <c r="L44" s="136"/>
      <c r="M44" s="136"/>
      <c r="N44" s="138"/>
      <c r="O44" s="138"/>
    </row>
    <row r="45" spans="6:15" hidden="1" x14ac:dyDescent="0.25">
      <c r="G45" s="144">
        <v>44356</v>
      </c>
      <c r="H45" s="136">
        <f t="shared" si="1"/>
        <v>915</v>
      </c>
      <c r="I45" s="133"/>
      <c r="J45" s="138"/>
      <c r="K45" s="138"/>
      <c r="L45" s="138"/>
      <c r="M45" s="138"/>
      <c r="N45" s="136"/>
      <c r="O45" s="138"/>
    </row>
    <row r="46" spans="6:15" hidden="1" x14ac:dyDescent="0.25">
      <c r="F46" s="135"/>
      <c r="G46" s="144">
        <v>44356</v>
      </c>
      <c r="H46" s="136">
        <f t="shared" si="1"/>
        <v>916</v>
      </c>
      <c r="I46" s="133"/>
      <c r="J46" s="138"/>
      <c r="K46" s="138"/>
      <c r="L46" s="138"/>
      <c r="M46" s="138"/>
      <c r="N46" s="138"/>
      <c r="O46" s="138"/>
    </row>
    <row r="47" spans="6:15" hidden="1" x14ac:dyDescent="0.25">
      <c r="F47" s="135"/>
      <c r="G47" s="144">
        <v>44356</v>
      </c>
      <c r="H47" s="136">
        <f t="shared" si="1"/>
        <v>917</v>
      </c>
      <c r="I47" s="133">
        <v>9.1</v>
      </c>
      <c r="J47" s="138"/>
      <c r="K47" s="138"/>
      <c r="L47" s="136"/>
      <c r="M47" s="138"/>
      <c r="N47" s="138"/>
      <c r="O47" s="138"/>
    </row>
    <row r="48" spans="6:15" x14ac:dyDescent="0.25">
      <c r="G48" s="144">
        <v>44356</v>
      </c>
      <c r="H48" s="136">
        <f t="shared" si="1"/>
        <v>918</v>
      </c>
      <c r="I48" s="133"/>
      <c r="J48" s="138">
        <v>0</v>
      </c>
      <c r="K48" s="136">
        <f>100*J48-100</f>
        <v>-100</v>
      </c>
      <c r="L48" s="138"/>
      <c r="M48" s="136"/>
      <c r="N48" s="138"/>
      <c r="O48" s="138"/>
    </row>
    <row r="49" spans="6:15" hidden="1" x14ac:dyDescent="0.25">
      <c r="G49" s="144">
        <v>44356</v>
      </c>
      <c r="H49" s="136">
        <f t="shared" si="1"/>
        <v>919</v>
      </c>
      <c r="I49" s="133">
        <v>9</v>
      </c>
      <c r="J49" s="138"/>
      <c r="K49" s="138"/>
      <c r="L49" s="138"/>
      <c r="M49" s="138"/>
      <c r="N49" s="138"/>
      <c r="O49" s="138"/>
    </row>
    <row r="50" spans="6:15" x14ac:dyDescent="0.25">
      <c r="F50" s="135"/>
      <c r="G50" s="144">
        <v>44356</v>
      </c>
      <c r="H50" s="136">
        <f t="shared" si="1"/>
        <v>920</v>
      </c>
      <c r="I50" s="133">
        <v>9.1</v>
      </c>
      <c r="J50" s="138">
        <v>0</v>
      </c>
      <c r="K50" s="136">
        <f>100*J50-100</f>
        <v>-100</v>
      </c>
      <c r="L50" s="138"/>
      <c r="M50" s="136"/>
      <c r="N50" s="138"/>
      <c r="O50" s="138"/>
    </row>
    <row r="51" spans="6:15" x14ac:dyDescent="0.25">
      <c r="G51" s="144">
        <v>44356</v>
      </c>
      <c r="H51" s="136">
        <f t="shared" si="1"/>
        <v>921</v>
      </c>
      <c r="I51" s="133"/>
      <c r="J51" s="138">
        <v>0</v>
      </c>
      <c r="K51" s="136">
        <f>100*J51-100</f>
        <v>-100</v>
      </c>
      <c r="L51" s="136"/>
      <c r="M51" s="136"/>
      <c r="N51" s="138"/>
      <c r="O51" s="138"/>
    </row>
    <row r="52" spans="6:15" hidden="1" x14ac:dyDescent="0.25">
      <c r="G52" s="144">
        <v>44356</v>
      </c>
      <c r="H52" s="136">
        <f t="shared" si="1"/>
        <v>922</v>
      </c>
      <c r="I52" s="133"/>
      <c r="J52" s="138"/>
      <c r="K52" s="138"/>
      <c r="L52" s="138"/>
      <c r="M52" s="138"/>
      <c r="N52" s="136"/>
      <c r="O52" s="138"/>
    </row>
    <row r="53" spans="6:15" hidden="1" x14ac:dyDescent="0.25">
      <c r="G53" s="144">
        <v>44356</v>
      </c>
      <c r="H53" s="136">
        <f t="shared" si="1"/>
        <v>923</v>
      </c>
      <c r="I53" s="133"/>
      <c r="J53" s="138"/>
      <c r="K53" s="138"/>
      <c r="L53" s="138"/>
      <c r="M53" s="138"/>
      <c r="N53" s="138"/>
      <c r="O53" s="138"/>
    </row>
    <row r="54" spans="6:15" hidden="1" x14ac:dyDescent="0.25">
      <c r="G54" s="144">
        <v>44356</v>
      </c>
      <c r="H54" s="136">
        <f t="shared" si="1"/>
        <v>924</v>
      </c>
      <c r="I54" s="133">
        <v>9</v>
      </c>
      <c r="J54" s="138"/>
      <c r="K54" s="138"/>
      <c r="L54" s="138"/>
      <c r="M54" s="138"/>
      <c r="N54" s="138"/>
      <c r="O54" s="138"/>
    </row>
    <row r="55" spans="6:15" x14ac:dyDescent="0.25">
      <c r="F55" s="135"/>
      <c r="G55" s="144">
        <v>44356</v>
      </c>
      <c r="H55" s="136">
        <f t="shared" si="1"/>
        <v>925</v>
      </c>
      <c r="I55" s="133"/>
      <c r="J55" s="138">
        <v>0</v>
      </c>
      <c r="K55" s="136">
        <f>100*J55-100</f>
        <v>-100</v>
      </c>
      <c r="L55" s="138"/>
      <c r="M55" s="136"/>
      <c r="N55" s="136"/>
      <c r="O55" s="138"/>
    </row>
    <row r="56" spans="6:15" hidden="1" x14ac:dyDescent="0.25">
      <c r="F56" s="135"/>
      <c r="G56" s="144">
        <v>44356</v>
      </c>
      <c r="H56" s="136">
        <f t="shared" si="1"/>
        <v>926</v>
      </c>
      <c r="I56" s="133"/>
      <c r="J56" s="138"/>
      <c r="K56" s="138"/>
      <c r="L56" s="136"/>
      <c r="M56" s="138"/>
      <c r="N56" s="138"/>
      <c r="O56" s="138"/>
    </row>
    <row r="57" spans="6:15" hidden="1" x14ac:dyDescent="0.25">
      <c r="G57" s="144">
        <v>44356</v>
      </c>
      <c r="H57" s="136">
        <f t="shared" si="1"/>
        <v>927</v>
      </c>
      <c r="I57" s="133"/>
      <c r="J57" s="138"/>
      <c r="K57" s="138"/>
      <c r="L57" s="138"/>
      <c r="M57" s="138"/>
      <c r="N57" s="138"/>
      <c r="O57" s="138"/>
    </row>
    <row r="58" spans="6:15" hidden="1" x14ac:dyDescent="0.25">
      <c r="G58" s="144">
        <v>44356</v>
      </c>
      <c r="H58" s="136">
        <f t="shared" si="1"/>
        <v>928</v>
      </c>
      <c r="I58" s="133">
        <v>9</v>
      </c>
      <c r="J58" s="138"/>
      <c r="K58" s="138"/>
      <c r="L58" s="138"/>
      <c r="M58" s="138"/>
      <c r="N58" s="138"/>
      <c r="O58" s="138"/>
    </row>
    <row r="59" spans="6:15" x14ac:dyDescent="0.25">
      <c r="G59" s="144">
        <v>44356</v>
      </c>
      <c r="H59" s="136">
        <f t="shared" si="1"/>
        <v>929</v>
      </c>
      <c r="I59" s="133"/>
      <c r="J59" s="138">
        <v>0</v>
      </c>
      <c r="K59" s="136">
        <f>100*J59-100</f>
        <v>-100</v>
      </c>
      <c r="L59" s="138"/>
      <c r="M59" s="136"/>
      <c r="N59" s="138"/>
      <c r="O59" s="138"/>
    </row>
    <row r="60" spans="6:15" hidden="1" x14ac:dyDescent="0.25">
      <c r="G60" s="144">
        <v>44356</v>
      </c>
      <c r="H60" s="136">
        <f t="shared" si="1"/>
        <v>930</v>
      </c>
      <c r="I60" s="133"/>
      <c r="J60" s="138"/>
      <c r="K60" s="138"/>
      <c r="L60" s="138"/>
      <c r="M60" s="138"/>
      <c r="N60" s="136"/>
      <c r="O60" s="138"/>
    </row>
    <row r="61" spans="6:15" hidden="1" x14ac:dyDescent="0.25">
      <c r="F61" s="135"/>
      <c r="G61" s="144">
        <v>44356</v>
      </c>
      <c r="H61" s="136">
        <f t="shared" si="1"/>
        <v>931</v>
      </c>
      <c r="I61" s="133">
        <v>9.1</v>
      </c>
      <c r="J61" s="138"/>
      <c r="K61" s="138"/>
      <c r="L61" s="138"/>
      <c r="M61" s="138"/>
      <c r="N61" s="138"/>
      <c r="O61" s="138"/>
    </row>
    <row r="62" spans="6:15" x14ac:dyDescent="0.25">
      <c r="G62" s="144">
        <v>44356</v>
      </c>
      <c r="H62" s="136">
        <f t="shared" si="1"/>
        <v>932</v>
      </c>
      <c r="I62" s="133">
        <v>9.1</v>
      </c>
      <c r="J62" s="138">
        <v>15.86</v>
      </c>
      <c r="K62" s="136">
        <f>100*J62-100</f>
        <v>1486</v>
      </c>
      <c r="L62" s="138"/>
      <c r="M62" s="136"/>
      <c r="N62" s="138"/>
      <c r="O62" s="138"/>
    </row>
    <row r="63" spans="6:15" x14ac:dyDescent="0.25">
      <c r="G63" s="144">
        <v>44356</v>
      </c>
      <c r="H63" s="136">
        <f t="shared" si="1"/>
        <v>933</v>
      </c>
      <c r="I63" s="133"/>
      <c r="J63" s="138">
        <v>0</v>
      </c>
      <c r="K63" s="136">
        <f>100*J63-100</f>
        <v>-100</v>
      </c>
      <c r="L63" s="138"/>
      <c r="M63" s="136"/>
      <c r="N63" s="136"/>
      <c r="O63" s="138"/>
    </row>
    <row r="64" spans="6:15" hidden="1" x14ac:dyDescent="0.25">
      <c r="F64" s="135"/>
      <c r="G64" s="144">
        <v>44356</v>
      </c>
      <c r="H64" s="136">
        <f t="shared" si="1"/>
        <v>934</v>
      </c>
      <c r="I64" s="133"/>
      <c r="J64" s="138"/>
      <c r="K64" s="138"/>
      <c r="L64" s="138"/>
      <c r="M64" s="138"/>
      <c r="N64" s="138"/>
      <c r="O64" s="138"/>
    </row>
    <row r="65" spans="6:15" hidden="1" x14ac:dyDescent="0.25">
      <c r="G65" s="144">
        <v>44356</v>
      </c>
      <c r="H65" s="136">
        <f t="shared" si="1"/>
        <v>935</v>
      </c>
      <c r="I65" s="133"/>
      <c r="J65" s="138"/>
      <c r="K65" s="138"/>
      <c r="L65" s="136"/>
      <c r="M65" s="138"/>
      <c r="N65" s="138"/>
      <c r="O65" s="138"/>
    </row>
    <row r="66" spans="6:15" hidden="1" x14ac:dyDescent="0.25">
      <c r="G66" s="144">
        <v>44356</v>
      </c>
      <c r="H66" s="136">
        <f t="shared" si="1"/>
        <v>936</v>
      </c>
      <c r="I66" s="139"/>
      <c r="J66" s="138"/>
      <c r="K66" s="138"/>
      <c r="L66" s="138"/>
      <c r="M66" s="138"/>
      <c r="N66" s="138"/>
      <c r="O66" s="138"/>
    </row>
    <row r="67" spans="6:15" hidden="1" x14ac:dyDescent="0.25">
      <c r="G67" s="144">
        <v>44356</v>
      </c>
      <c r="H67" s="136">
        <f t="shared" si="1"/>
        <v>937</v>
      </c>
      <c r="I67" s="133"/>
      <c r="J67" s="138"/>
      <c r="K67" s="138"/>
      <c r="L67" s="138"/>
      <c r="M67" s="138"/>
      <c r="N67" s="136"/>
      <c r="O67" s="138"/>
    </row>
    <row r="68" spans="6:15" hidden="1" x14ac:dyDescent="0.25">
      <c r="G68" s="144">
        <v>44356</v>
      </c>
      <c r="H68" s="136">
        <f t="shared" si="1"/>
        <v>938</v>
      </c>
      <c r="I68" s="133"/>
      <c r="J68" s="138"/>
      <c r="K68" s="138"/>
      <c r="L68" s="138"/>
      <c r="M68" s="138"/>
      <c r="N68" s="138"/>
      <c r="O68" s="138"/>
    </row>
    <row r="69" spans="6:15" hidden="1" x14ac:dyDescent="0.25">
      <c r="G69" s="144">
        <v>44356</v>
      </c>
      <c r="H69" s="136">
        <f t="shared" si="1"/>
        <v>939</v>
      </c>
      <c r="I69" s="133"/>
      <c r="J69" s="138"/>
      <c r="K69" s="138"/>
      <c r="L69" s="138"/>
      <c r="M69" s="138"/>
      <c r="N69" s="138"/>
      <c r="O69" s="138"/>
    </row>
    <row r="70" spans="6:15" hidden="1" x14ac:dyDescent="0.25">
      <c r="G70" s="144">
        <v>44356</v>
      </c>
      <c r="H70" s="136">
        <f t="shared" si="1"/>
        <v>940</v>
      </c>
      <c r="I70" s="133">
        <v>9.1</v>
      </c>
      <c r="J70" s="138"/>
      <c r="K70" s="138"/>
      <c r="L70" s="138"/>
      <c r="M70" s="138"/>
      <c r="N70" s="138"/>
      <c r="O70" s="138"/>
    </row>
    <row r="71" spans="6:15" x14ac:dyDescent="0.25">
      <c r="G71" s="144">
        <v>44356</v>
      </c>
      <c r="H71" s="136">
        <f t="shared" ref="H71:H134" si="2">H70+1</f>
        <v>941</v>
      </c>
      <c r="I71" s="133"/>
      <c r="J71" s="138">
        <v>0</v>
      </c>
      <c r="K71" s="136">
        <f>100*J71-100</f>
        <v>-100</v>
      </c>
      <c r="L71" s="138"/>
      <c r="M71" s="136"/>
      <c r="N71" s="138"/>
      <c r="O71" s="138"/>
    </row>
    <row r="72" spans="6:15" hidden="1" x14ac:dyDescent="0.25">
      <c r="F72" s="135"/>
      <c r="G72" s="144">
        <v>44356</v>
      </c>
      <c r="H72" s="136">
        <f t="shared" si="2"/>
        <v>942</v>
      </c>
      <c r="I72" s="133"/>
      <c r="J72" s="138"/>
      <c r="K72" s="138"/>
      <c r="L72" s="138"/>
      <c r="M72" s="138"/>
      <c r="N72" s="136"/>
      <c r="O72" s="138"/>
    </row>
    <row r="73" spans="6:15" hidden="1" x14ac:dyDescent="0.25">
      <c r="F73" s="135"/>
      <c r="G73" s="144">
        <v>44356</v>
      </c>
      <c r="H73" s="136">
        <f t="shared" si="2"/>
        <v>943</v>
      </c>
      <c r="I73" s="133">
        <v>9.1</v>
      </c>
      <c r="J73" s="138"/>
      <c r="K73" s="138"/>
      <c r="L73" s="136"/>
      <c r="M73" s="138"/>
      <c r="N73" s="138"/>
      <c r="O73" s="138"/>
    </row>
    <row r="74" spans="6:15" x14ac:dyDescent="0.25">
      <c r="G74" s="144">
        <v>44356</v>
      </c>
      <c r="H74" s="136">
        <f t="shared" si="2"/>
        <v>944</v>
      </c>
      <c r="I74" s="133"/>
      <c r="J74" s="138">
        <v>0</v>
      </c>
      <c r="K74" s="136">
        <f>100*J74-100</f>
        <v>-100</v>
      </c>
      <c r="L74" s="138"/>
      <c r="M74" s="136"/>
      <c r="N74" s="138"/>
      <c r="O74" s="138"/>
    </row>
    <row r="75" spans="6:15" hidden="1" x14ac:dyDescent="0.25">
      <c r="G75" s="144">
        <v>44356</v>
      </c>
      <c r="H75" s="136">
        <f t="shared" si="2"/>
        <v>945</v>
      </c>
      <c r="I75" s="133">
        <v>9</v>
      </c>
      <c r="J75" s="138"/>
      <c r="K75" s="138"/>
      <c r="L75" s="138"/>
      <c r="M75" s="138"/>
      <c r="N75" s="138"/>
      <c r="O75" s="138"/>
    </row>
    <row r="76" spans="6:15" x14ac:dyDescent="0.25">
      <c r="G76" s="144">
        <v>44356</v>
      </c>
      <c r="H76" s="136">
        <f t="shared" si="2"/>
        <v>946</v>
      </c>
      <c r="I76" s="133"/>
      <c r="J76" s="138">
        <v>0</v>
      </c>
      <c r="K76" s="136">
        <f>100*J76-100</f>
        <v>-100</v>
      </c>
      <c r="L76" s="138"/>
      <c r="M76" s="136"/>
      <c r="N76" s="136"/>
      <c r="O76" s="138"/>
    </row>
    <row r="77" spans="6:15" hidden="1" x14ac:dyDescent="0.25">
      <c r="G77" s="144">
        <v>44356</v>
      </c>
      <c r="H77" s="136">
        <f t="shared" si="2"/>
        <v>947</v>
      </c>
      <c r="I77" s="133">
        <v>9</v>
      </c>
      <c r="J77" s="138"/>
      <c r="K77" s="138"/>
      <c r="L77" s="138"/>
      <c r="M77" s="138"/>
      <c r="N77" s="138"/>
      <c r="O77" s="138"/>
    </row>
    <row r="78" spans="6:15" x14ac:dyDescent="0.25">
      <c r="G78" s="144">
        <v>44356</v>
      </c>
      <c r="H78" s="136">
        <f t="shared" si="2"/>
        <v>948</v>
      </c>
      <c r="I78" s="133">
        <v>9</v>
      </c>
      <c r="J78" s="138">
        <v>15.86</v>
      </c>
      <c r="K78" s="136">
        <f>100*J78-100</f>
        <v>1486</v>
      </c>
      <c r="L78" s="138"/>
      <c r="M78" s="136"/>
      <c r="N78" s="136"/>
      <c r="O78" s="138"/>
    </row>
    <row r="79" spans="6:15" x14ac:dyDescent="0.25">
      <c r="G79" s="144">
        <v>44356</v>
      </c>
      <c r="H79" s="136">
        <f t="shared" si="2"/>
        <v>949</v>
      </c>
      <c r="I79" s="133"/>
      <c r="J79" s="138">
        <v>0</v>
      </c>
      <c r="K79" s="136">
        <f>100*J79-100</f>
        <v>-100</v>
      </c>
      <c r="L79" s="138"/>
      <c r="M79" s="136"/>
      <c r="N79" s="138"/>
      <c r="O79" s="138"/>
    </row>
    <row r="80" spans="6:15" hidden="1" x14ac:dyDescent="0.25">
      <c r="F80" s="135"/>
      <c r="G80" s="144">
        <v>44356</v>
      </c>
      <c r="H80" s="136">
        <f t="shared" si="2"/>
        <v>950</v>
      </c>
      <c r="I80" s="133"/>
      <c r="J80" s="138"/>
      <c r="K80" s="138"/>
      <c r="L80" s="138"/>
      <c r="M80" s="138"/>
      <c r="N80" s="136"/>
      <c r="O80" s="138"/>
    </row>
    <row r="81" spans="6:17" hidden="1" x14ac:dyDescent="0.25">
      <c r="G81" s="144">
        <v>44356</v>
      </c>
      <c r="H81" s="136">
        <f t="shared" si="2"/>
        <v>951</v>
      </c>
      <c r="I81" s="133"/>
      <c r="J81" s="138"/>
      <c r="K81" s="138"/>
      <c r="L81" s="136"/>
      <c r="M81" s="138"/>
      <c r="N81" s="138"/>
      <c r="O81" s="138"/>
    </row>
    <row r="82" spans="6:17" hidden="1" x14ac:dyDescent="0.25">
      <c r="G82" s="144">
        <v>44356</v>
      </c>
      <c r="H82" s="136">
        <f t="shared" si="2"/>
        <v>952</v>
      </c>
      <c r="I82" s="133"/>
      <c r="J82" s="138"/>
      <c r="K82" s="138"/>
      <c r="L82" s="138"/>
      <c r="M82" s="138"/>
      <c r="N82" s="138"/>
      <c r="O82" s="138"/>
    </row>
    <row r="83" spans="6:17" hidden="1" x14ac:dyDescent="0.25">
      <c r="G83" s="144">
        <v>44356</v>
      </c>
      <c r="H83" s="136">
        <f t="shared" si="2"/>
        <v>953</v>
      </c>
      <c r="I83" s="133"/>
      <c r="J83" s="138"/>
      <c r="K83" s="138"/>
      <c r="L83" s="138"/>
      <c r="M83" s="138"/>
      <c r="N83" s="138"/>
      <c r="O83" s="138"/>
    </row>
    <row r="84" spans="6:17" hidden="1" x14ac:dyDescent="0.25">
      <c r="G84" s="144">
        <v>44356</v>
      </c>
      <c r="H84" s="136">
        <f t="shared" si="2"/>
        <v>954</v>
      </c>
      <c r="I84" s="133"/>
      <c r="J84" s="138"/>
      <c r="K84" s="138"/>
      <c r="L84" s="138"/>
      <c r="M84" s="138"/>
      <c r="N84" s="136"/>
      <c r="O84" s="138"/>
    </row>
    <row r="85" spans="6:17" hidden="1" x14ac:dyDescent="0.25">
      <c r="G85" s="144">
        <v>44356</v>
      </c>
      <c r="H85" s="136">
        <f t="shared" si="2"/>
        <v>955</v>
      </c>
      <c r="I85" s="133"/>
      <c r="J85" s="138"/>
      <c r="K85" s="138"/>
      <c r="L85" s="138"/>
      <c r="M85" s="138"/>
      <c r="N85" s="138"/>
      <c r="O85" s="138"/>
    </row>
    <row r="86" spans="6:17" hidden="1" x14ac:dyDescent="0.25">
      <c r="G86" s="144">
        <v>44356</v>
      </c>
      <c r="H86" s="136">
        <f t="shared" si="2"/>
        <v>956</v>
      </c>
      <c r="I86" s="133"/>
      <c r="J86" s="138"/>
      <c r="K86" s="138"/>
      <c r="L86" s="138"/>
      <c r="M86" s="138"/>
      <c r="N86" s="138"/>
      <c r="O86" s="138"/>
    </row>
    <row r="87" spans="6:17" hidden="1" x14ac:dyDescent="0.25">
      <c r="G87" s="144">
        <v>44356</v>
      </c>
      <c r="H87" s="136">
        <f t="shared" si="2"/>
        <v>957</v>
      </c>
      <c r="I87" s="133"/>
      <c r="J87" s="138"/>
      <c r="K87" s="138"/>
      <c r="L87" s="138"/>
      <c r="M87" s="138"/>
      <c r="N87" s="136"/>
      <c r="O87" s="138"/>
      <c r="Q87" s="81"/>
    </row>
    <row r="88" spans="6:17" hidden="1" x14ac:dyDescent="0.25">
      <c r="G88" s="144">
        <v>44356</v>
      </c>
      <c r="H88" s="136">
        <f t="shared" si="2"/>
        <v>958</v>
      </c>
      <c r="I88" s="133"/>
      <c r="J88" s="138"/>
      <c r="K88" s="138"/>
      <c r="L88" s="138"/>
      <c r="M88" s="138"/>
      <c r="N88" s="138"/>
      <c r="O88" s="138"/>
    </row>
    <row r="89" spans="6:17" hidden="1" x14ac:dyDescent="0.25">
      <c r="G89" s="144">
        <v>44356</v>
      </c>
      <c r="H89" s="136">
        <f t="shared" si="2"/>
        <v>959</v>
      </c>
      <c r="I89" s="133"/>
      <c r="J89" s="138"/>
      <c r="K89" s="138"/>
      <c r="L89" s="138"/>
      <c r="M89" s="138"/>
      <c r="N89" s="136"/>
      <c r="O89" s="138"/>
    </row>
    <row r="90" spans="6:17" hidden="1" x14ac:dyDescent="0.25">
      <c r="G90" s="144">
        <v>44356</v>
      </c>
      <c r="H90" s="136">
        <f t="shared" si="2"/>
        <v>960</v>
      </c>
      <c r="I90" s="133"/>
      <c r="J90" s="138"/>
      <c r="K90" s="138"/>
      <c r="L90" s="138"/>
      <c r="M90" s="138"/>
      <c r="N90" s="138"/>
      <c r="O90" s="138"/>
      <c r="Q90" s="81"/>
    </row>
    <row r="91" spans="6:17" hidden="1" x14ac:dyDescent="0.25">
      <c r="G91" s="144">
        <v>44356</v>
      </c>
      <c r="H91" s="136">
        <f t="shared" si="2"/>
        <v>961</v>
      </c>
      <c r="I91" s="133">
        <v>9</v>
      </c>
      <c r="J91" s="138"/>
      <c r="K91" s="138"/>
      <c r="L91" s="138"/>
      <c r="M91" s="138"/>
      <c r="N91" s="136"/>
      <c r="O91" s="138"/>
    </row>
    <row r="92" spans="6:17" x14ac:dyDescent="0.25">
      <c r="G92" s="144">
        <v>44356</v>
      </c>
      <c r="H92" s="136">
        <f t="shared" si="2"/>
        <v>962</v>
      </c>
      <c r="I92" s="133">
        <v>9</v>
      </c>
      <c r="J92" s="138">
        <v>15.86</v>
      </c>
      <c r="K92" s="136">
        <f>100*J92-100</f>
        <v>1486</v>
      </c>
      <c r="L92" s="138"/>
      <c r="M92" s="136"/>
      <c r="N92" s="138"/>
      <c r="O92" s="138"/>
    </row>
    <row r="93" spans="6:17" x14ac:dyDescent="0.25">
      <c r="F93" s="135"/>
      <c r="G93" s="144">
        <v>44356</v>
      </c>
      <c r="H93" s="136">
        <f t="shared" si="2"/>
        <v>963</v>
      </c>
      <c r="I93" s="133"/>
      <c r="J93" s="138">
        <v>0</v>
      </c>
      <c r="K93" s="136">
        <f>100*J93-100</f>
        <v>-100</v>
      </c>
      <c r="L93" s="138"/>
      <c r="M93" s="136"/>
      <c r="N93" s="136"/>
      <c r="O93" s="138"/>
    </row>
    <row r="94" spans="6:17" hidden="1" x14ac:dyDescent="0.25">
      <c r="F94" s="135"/>
      <c r="G94" s="144">
        <v>44356</v>
      </c>
      <c r="H94" s="136">
        <f t="shared" si="2"/>
        <v>964</v>
      </c>
      <c r="I94" s="133"/>
      <c r="J94" s="138"/>
      <c r="K94" s="138"/>
      <c r="L94" s="136"/>
      <c r="M94" s="138"/>
      <c r="N94" s="138"/>
      <c r="O94" s="138"/>
    </row>
    <row r="95" spans="6:17" hidden="1" x14ac:dyDescent="0.25">
      <c r="G95" s="144">
        <v>44356</v>
      </c>
      <c r="H95" s="136">
        <f t="shared" si="2"/>
        <v>965</v>
      </c>
      <c r="I95" s="133">
        <v>9.1</v>
      </c>
      <c r="J95" s="138"/>
      <c r="K95" s="138"/>
      <c r="L95" s="138"/>
      <c r="M95" s="138"/>
      <c r="N95" s="138"/>
      <c r="O95" s="138"/>
    </row>
    <row r="96" spans="6:17" x14ac:dyDescent="0.25">
      <c r="G96" s="144">
        <v>44356</v>
      </c>
      <c r="H96" s="136">
        <f t="shared" si="2"/>
        <v>966</v>
      </c>
      <c r="I96" s="133">
        <v>9</v>
      </c>
      <c r="J96" s="138">
        <v>0</v>
      </c>
      <c r="K96" s="136">
        <f>100*J96-100</f>
        <v>-100</v>
      </c>
      <c r="L96" s="138"/>
      <c r="M96" s="136"/>
      <c r="N96" s="138"/>
      <c r="O96" s="138"/>
    </row>
    <row r="97" spans="6:17" x14ac:dyDescent="0.25">
      <c r="F97" s="135"/>
      <c r="G97" s="144">
        <v>44356</v>
      </c>
      <c r="H97" s="136">
        <f t="shared" si="2"/>
        <v>967</v>
      </c>
      <c r="I97" s="133"/>
      <c r="J97" s="138">
        <v>0</v>
      </c>
      <c r="K97" s="136">
        <f>100*J97-100</f>
        <v>-100</v>
      </c>
      <c r="L97" s="138"/>
      <c r="M97" s="136"/>
      <c r="N97" s="138"/>
      <c r="O97" s="138"/>
    </row>
    <row r="98" spans="6:17" hidden="1" x14ac:dyDescent="0.25">
      <c r="G98" s="144">
        <v>44356</v>
      </c>
      <c r="H98" s="136">
        <f t="shared" si="2"/>
        <v>968</v>
      </c>
      <c r="I98" s="133"/>
      <c r="J98" s="138"/>
      <c r="K98" s="138"/>
      <c r="L98" s="136"/>
      <c r="M98" s="138"/>
      <c r="N98" s="138"/>
      <c r="O98" s="138"/>
    </row>
    <row r="99" spans="6:17" hidden="1" x14ac:dyDescent="0.25">
      <c r="G99" s="144">
        <v>44356</v>
      </c>
      <c r="H99" s="136">
        <f t="shared" si="2"/>
        <v>969</v>
      </c>
      <c r="I99" s="133"/>
      <c r="J99" s="138"/>
      <c r="K99" s="138"/>
      <c r="L99" s="138"/>
      <c r="M99" s="138"/>
      <c r="N99" s="136"/>
      <c r="O99" s="138"/>
    </row>
    <row r="100" spans="6:17" hidden="1" x14ac:dyDescent="0.25">
      <c r="F100" s="135"/>
      <c r="G100" s="144">
        <v>44356</v>
      </c>
      <c r="H100" s="136">
        <f t="shared" si="2"/>
        <v>970</v>
      </c>
      <c r="I100" s="133"/>
      <c r="J100" s="138"/>
      <c r="K100" s="138"/>
      <c r="L100" s="138"/>
      <c r="M100" s="138"/>
      <c r="N100" s="138"/>
      <c r="O100" s="138"/>
      <c r="P100" s="81"/>
      <c r="Q100" s="81"/>
    </row>
    <row r="101" spans="6:17" hidden="1" x14ac:dyDescent="0.25">
      <c r="G101" s="144">
        <v>44356</v>
      </c>
      <c r="H101" s="136">
        <f t="shared" si="2"/>
        <v>971</v>
      </c>
      <c r="I101" s="133"/>
      <c r="J101" s="138"/>
      <c r="K101" s="138"/>
      <c r="L101" s="136"/>
      <c r="M101" s="138"/>
      <c r="N101" s="138"/>
      <c r="O101" s="138"/>
    </row>
    <row r="102" spans="6:17" hidden="1" x14ac:dyDescent="0.25">
      <c r="G102" s="144">
        <v>44356</v>
      </c>
      <c r="H102" s="136">
        <f t="shared" si="2"/>
        <v>972</v>
      </c>
      <c r="I102" s="133">
        <v>9</v>
      </c>
      <c r="J102" s="138"/>
      <c r="K102" s="138"/>
      <c r="L102" s="138"/>
      <c r="M102" s="138"/>
      <c r="N102" s="138"/>
      <c r="O102" s="138"/>
    </row>
    <row r="103" spans="6:17" x14ac:dyDescent="0.25">
      <c r="G103" s="144">
        <v>44356</v>
      </c>
      <c r="H103" s="136">
        <f t="shared" si="2"/>
        <v>973</v>
      </c>
      <c r="I103" s="133"/>
      <c r="J103" s="138">
        <v>0</v>
      </c>
      <c r="K103" s="136">
        <f>100*J103-100</f>
        <v>-100</v>
      </c>
      <c r="L103" s="138"/>
      <c r="M103" s="136"/>
      <c r="N103" s="138"/>
      <c r="O103" s="138"/>
    </row>
    <row r="104" spans="6:17" hidden="1" x14ac:dyDescent="0.25">
      <c r="G104" s="144">
        <v>44356</v>
      </c>
      <c r="H104" s="136">
        <f t="shared" si="2"/>
        <v>974</v>
      </c>
      <c r="I104" s="133"/>
      <c r="J104" s="138"/>
      <c r="K104" s="138"/>
      <c r="L104" s="138"/>
      <c r="M104" s="138"/>
      <c r="N104" s="138"/>
      <c r="O104" s="138"/>
    </row>
    <row r="105" spans="6:17" hidden="1" x14ac:dyDescent="0.25">
      <c r="G105" s="144">
        <v>44356</v>
      </c>
      <c r="H105" s="136">
        <f t="shared" si="2"/>
        <v>975</v>
      </c>
      <c r="I105" s="133">
        <v>9</v>
      </c>
      <c r="J105" s="138"/>
      <c r="K105" s="138"/>
      <c r="L105" s="138"/>
      <c r="M105" s="138"/>
      <c r="N105" s="136"/>
      <c r="O105" s="138"/>
    </row>
    <row r="106" spans="6:17" x14ac:dyDescent="0.25">
      <c r="G106" s="144">
        <v>44356</v>
      </c>
      <c r="H106" s="136">
        <f t="shared" si="2"/>
        <v>976</v>
      </c>
      <c r="I106" s="133"/>
      <c r="J106" s="138">
        <v>0</v>
      </c>
      <c r="K106" s="136">
        <f>100*J106-100</f>
        <v>-100</v>
      </c>
      <c r="L106" s="138"/>
      <c r="M106" s="136"/>
      <c r="N106" s="138"/>
      <c r="O106" s="138"/>
    </row>
    <row r="107" spans="6:17" hidden="1" x14ac:dyDescent="0.25">
      <c r="G107" s="144">
        <v>44356</v>
      </c>
      <c r="H107" s="136">
        <f t="shared" si="2"/>
        <v>977</v>
      </c>
      <c r="I107" s="133"/>
      <c r="J107" s="138"/>
      <c r="K107" s="138"/>
      <c r="L107" s="138"/>
      <c r="M107" s="138"/>
      <c r="N107" s="136"/>
      <c r="O107" s="138"/>
    </row>
    <row r="108" spans="6:17" hidden="1" x14ac:dyDescent="0.25">
      <c r="G108" s="144">
        <v>44356</v>
      </c>
      <c r="H108" s="136">
        <f t="shared" si="2"/>
        <v>978</v>
      </c>
      <c r="I108" s="133"/>
      <c r="J108" s="138"/>
      <c r="K108" s="138"/>
      <c r="L108" s="138"/>
      <c r="M108" s="138"/>
      <c r="N108" s="138"/>
      <c r="O108" s="138"/>
    </row>
    <row r="109" spans="6:17" hidden="1" x14ac:dyDescent="0.25">
      <c r="G109" s="144">
        <v>44356</v>
      </c>
      <c r="H109" s="136">
        <f t="shared" si="2"/>
        <v>979</v>
      </c>
      <c r="I109" s="133"/>
      <c r="J109" s="138"/>
      <c r="K109" s="138"/>
      <c r="L109" s="138"/>
      <c r="M109" s="138"/>
      <c r="N109" s="138"/>
      <c r="O109" s="138"/>
    </row>
    <row r="110" spans="6:17" hidden="1" x14ac:dyDescent="0.25">
      <c r="G110" s="144">
        <v>44356</v>
      </c>
      <c r="H110" s="136">
        <f t="shared" si="2"/>
        <v>980</v>
      </c>
      <c r="I110" s="133">
        <v>9.1</v>
      </c>
      <c r="J110" s="138"/>
      <c r="K110" s="138"/>
      <c r="L110" s="138"/>
      <c r="M110" s="138"/>
      <c r="N110" s="138"/>
      <c r="O110" s="138"/>
    </row>
    <row r="111" spans="6:17" x14ac:dyDescent="0.25">
      <c r="F111" s="135"/>
      <c r="G111" s="144">
        <v>44356</v>
      </c>
      <c r="H111" s="136">
        <f t="shared" si="2"/>
        <v>981</v>
      </c>
      <c r="I111" s="133"/>
      <c r="J111" s="138">
        <v>0</v>
      </c>
      <c r="K111" s="136">
        <f>100*J111-100</f>
        <v>-100</v>
      </c>
      <c r="L111" s="138"/>
      <c r="M111" s="136"/>
      <c r="N111" s="138"/>
      <c r="O111" s="138"/>
    </row>
    <row r="112" spans="6:17" hidden="1" x14ac:dyDescent="0.25">
      <c r="F112" s="135"/>
      <c r="G112" s="144">
        <v>44356</v>
      </c>
      <c r="H112" s="136">
        <f t="shared" si="2"/>
        <v>982</v>
      </c>
      <c r="I112" s="133"/>
      <c r="J112" s="138"/>
      <c r="K112" s="138"/>
      <c r="L112" s="138"/>
      <c r="M112" s="138"/>
      <c r="N112" s="138"/>
      <c r="O112" s="138"/>
    </row>
    <row r="113" spans="6:15" hidden="1" x14ac:dyDescent="0.25">
      <c r="G113" s="144">
        <v>44356</v>
      </c>
      <c r="H113" s="136">
        <f t="shared" si="2"/>
        <v>983</v>
      </c>
      <c r="I113" s="133"/>
      <c r="J113" s="138"/>
      <c r="K113" s="138"/>
      <c r="L113" s="138"/>
      <c r="M113" s="138"/>
      <c r="N113" s="138"/>
      <c r="O113" s="138"/>
    </row>
    <row r="114" spans="6:15" hidden="1" x14ac:dyDescent="0.25">
      <c r="G114" s="144">
        <v>44356</v>
      </c>
      <c r="H114" s="136">
        <f t="shared" si="2"/>
        <v>984</v>
      </c>
      <c r="I114" s="133"/>
      <c r="J114" s="138"/>
      <c r="K114" s="138"/>
      <c r="L114" s="138"/>
      <c r="M114" s="138"/>
      <c r="N114" s="138"/>
      <c r="O114" s="138"/>
    </row>
    <row r="115" spans="6:15" hidden="1" x14ac:dyDescent="0.25">
      <c r="G115" s="144">
        <v>44356</v>
      </c>
      <c r="H115" s="136">
        <f t="shared" si="2"/>
        <v>985</v>
      </c>
      <c r="I115" s="133">
        <v>9</v>
      </c>
      <c r="J115" s="138"/>
      <c r="K115" s="138"/>
      <c r="L115" s="138"/>
      <c r="M115" s="138"/>
      <c r="N115" s="138"/>
      <c r="O115" s="138"/>
    </row>
    <row r="116" spans="6:15" x14ac:dyDescent="0.25">
      <c r="F116" s="135"/>
      <c r="G116" s="144">
        <v>44356</v>
      </c>
      <c r="H116" s="136">
        <f t="shared" si="2"/>
        <v>986</v>
      </c>
      <c r="I116" s="133"/>
      <c r="J116" s="138">
        <v>0</v>
      </c>
      <c r="K116" s="136">
        <f>100*J116-100</f>
        <v>-100</v>
      </c>
      <c r="L116" s="138"/>
      <c r="M116" s="136"/>
      <c r="N116" s="138"/>
      <c r="O116" s="138"/>
    </row>
    <row r="117" spans="6:15" hidden="1" x14ac:dyDescent="0.25">
      <c r="G117" s="144">
        <v>44356</v>
      </c>
      <c r="H117" s="136">
        <f t="shared" si="2"/>
        <v>987</v>
      </c>
      <c r="I117" s="133"/>
      <c r="J117" s="138"/>
      <c r="K117" s="138"/>
      <c r="L117" s="136"/>
      <c r="M117" s="138"/>
      <c r="N117" s="138"/>
      <c r="O117" s="138"/>
    </row>
    <row r="118" spans="6:15" hidden="1" x14ac:dyDescent="0.25">
      <c r="G118" s="144">
        <v>44356</v>
      </c>
      <c r="H118" s="136">
        <f t="shared" si="2"/>
        <v>988</v>
      </c>
      <c r="I118" s="133"/>
      <c r="J118" s="138"/>
      <c r="K118" s="138"/>
      <c r="L118" s="138"/>
      <c r="M118" s="138"/>
      <c r="N118" s="138"/>
      <c r="O118" s="138"/>
    </row>
    <row r="119" spans="6:15" hidden="1" x14ac:dyDescent="0.25">
      <c r="F119" s="135"/>
      <c r="G119" s="144">
        <v>44356</v>
      </c>
      <c r="H119" s="136">
        <f t="shared" si="2"/>
        <v>989</v>
      </c>
      <c r="I119" s="133"/>
      <c r="J119" s="138"/>
      <c r="K119" s="138"/>
      <c r="L119" s="138"/>
      <c r="M119" s="138"/>
      <c r="N119" s="136"/>
      <c r="O119" s="138"/>
    </row>
    <row r="120" spans="6:15" hidden="1" x14ac:dyDescent="0.25">
      <c r="G120" s="144">
        <v>44356</v>
      </c>
      <c r="H120" s="136">
        <f t="shared" si="2"/>
        <v>990</v>
      </c>
      <c r="I120" s="133">
        <v>9</v>
      </c>
      <c r="J120" s="138"/>
      <c r="K120" s="138"/>
      <c r="L120" s="136"/>
      <c r="M120" s="138"/>
      <c r="N120" s="138"/>
      <c r="O120" s="138"/>
    </row>
    <row r="121" spans="6:15" x14ac:dyDescent="0.25">
      <c r="G121" s="144">
        <v>44356</v>
      </c>
      <c r="H121" s="136">
        <f t="shared" si="2"/>
        <v>991</v>
      </c>
      <c r="I121" s="133">
        <v>9</v>
      </c>
      <c r="J121" s="138">
        <v>15.86</v>
      </c>
      <c r="K121" s="136">
        <f>100*J121-100</f>
        <v>1486</v>
      </c>
      <c r="L121" s="138"/>
      <c r="M121" s="136"/>
      <c r="N121" s="138"/>
      <c r="O121" s="138"/>
    </row>
    <row r="122" spans="6:15" x14ac:dyDescent="0.25">
      <c r="G122" s="144">
        <v>44356</v>
      </c>
      <c r="H122" s="136">
        <f t="shared" si="2"/>
        <v>992</v>
      </c>
      <c r="I122" s="133">
        <v>9</v>
      </c>
      <c r="J122" s="138">
        <v>15.86</v>
      </c>
      <c r="K122" s="136">
        <f>100*J122-100</f>
        <v>1486</v>
      </c>
      <c r="L122" s="138"/>
      <c r="M122" s="136"/>
      <c r="N122" s="145"/>
      <c r="O122" s="138"/>
    </row>
    <row r="123" spans="6:15" x14ac:dyDescent="0.25">
      <c r="G123" s="144">
        <v>44356</v>
      </c>
      <c r="H123" s="136">
        <f t="shared" si="2"/>
        <v>993</v>
      </c>
      <c r="I123" s="133">
        <v>9</v>
      </c>
      <c r="J123" s="138">
        <v>15.86</v>
      </c>
      <c r="K123" s="136">
        <f>100*J123-100</f>
        <v>1486</v>
      </c>
      <c r="L123" s="138"/>
      <c r="M123" s="136"/>
      <c r="N123" s="138"/>
      <c r="O123" s="138"/>
    </row>
    <row r="124" spans="6:15" x14ac:dyDescent="0.25">
      <c r="G124" s="144">
        <v>44356</v>
      </c>
      <c r="H124" s="136">
        <f t="shared" si="2"/>
        <v>994</v>
      </c>
      <c r="I124" s="133"/>
      <c r="J124" s="138">
        <v>0</v>
      </c>
      <c r="K124" s="136">
        <f>100*J124-100</f>
        <v>-100</v>
      </c>
      <c r="L124" s="138"/>
      <c r="M124" s="136"/>
      <c r="N124" s="136"/>
      <c r="O124" s="138"/>
    </row>
    <row r="125" spans="6:15" hidden="1" x14ac:dyDescent="0.25">
      <c r="G125" s="144">
        <v>44356</v>
      </c>
      <c r="H125" s="136">
        <f t="shared" si="2"/>
        <v>995</v>
      </c>
      <c r="I125" s="133"/>
      <c r="J125" s="138"/>
      <c r="K125" s="138"/>
      <c r="L125" s="138"/>
      <c r="M125" s="138"/>
      <c r="N125" s="138"/>
      <c r="O125" s="138"/>
    </row>
    <row r="126" spans="6:15" hidden="1" x14ac:dyDescent="0.25">
      <c r="G126" s="144">
        <v>44356</v>
      </c>
      <c r="H126" s="136">
        <f t="shared" si="2"/>
        <v>996</v>
      </c>
      <c r="I126" s="133"/>
      <c r="J126" s="138"/>
      <c r="K126" s="138"/>
      <c r="L126" s="138"/>
      <c r="M126" s="138"/>
      <c r="N126" s="138"/>
      <c r="O126" s="138"/>
    </row>
    <row r="127" spans="6:15" hidden="1" x14ac:dyDescent="0.25">
      <c r="G127" s="144">
        <v>44356</v>
      </c>
      <c r="H127" s="136">
        <f t="shared" si="2"/>
        <v>997</v>
      </c>
      <c r="I127" s="133">
        <v>9</v>
      </c>
      <c r="J127" s="138"/>
      <c r="K127" s="138"/>
      <c r="L127" s="138"/>
      <c r="M127" s="138"/>
      <c r="N127" s="138"/>
      <c r="O127" s="138"/>
    </row>
    <row r="128" spans="6:15" x14ac:dyDescent="0.25">
      <c r="G128" s="144">
        <v>44356</v>
      </c>
      <c r="H128" s="136">
        <f t="shared" si="2"/>
        <v>998</v>
      </c>
      <c r="I128" s="133"/>
      <c r="J128" s="138">
        <v>0</v>
      </c>
      <c r="K128" s="136">
        <f>100*J128-100</f>
        <v>-100</v>
      </c>
      <c r="L128" s="138"/>
      <c r="M128" s="136"/>
      <c r="N128" s="138"/>
      <c r="O128" s="138"/>
    </row>
    <row r="129" spans="6:16" hidden="1" x14ac:dyDescent="0.25">
      <c r="G129" s="144">
        <v>44356</v>
      </c>
      <c r="H129" s="136">
        <f t="shared" si="2"/>
        <v>999</v>
      </c>
      <c r="I129" s="133">
        <v>9.1</v>
      </c>
      <c r="J129" s="138"/>
      <c r="K129" s="138"/>
      <c r="L129" s="138"/>
      <c r="M129" s="138"/>
      <c r="N129" s="136"/>
      <c r="O129" s="138"/>
    </row>
    <row r="130" spans="6:16" x14ac:dyDescent="0.25">
      <c r="F130" s="135"/>
      <c r="G130" s="144">
        <v>44356</v>
      </c>
      <c r="H130" s="136">
        <f t="shared" si="2"/>
        <v>1000</v>
      </c>
      <c r="I130" s="133">
        <v>9.1</v>
      </c>
      <c r="J130" s="138">
        <v>15.86</v>
      </c>
      <c r="K130" s="136">
        <f>100*J130-100</f>
        <v>1486</v>
      </c>
      <c r="L130" s="138"/>
      <c r="M130" s="136"/>
      <c r="N130" s="138"/>
      <c r="O130" s="138"/>
    </row>
    <row r="131" spans="6:16" x14ac:dyDescent="0.25">
      <c r="G131" s="144">
        <v>44356</v>
      </c>
      <c r="H131" s="136">
        <f t="shared" si="2"/>
        <v>1001</v>
      </c>
      <c r="I131" s="133"/>
      <c r="J131" s="138">
        <v>0</v>
      </c>
      <c r="K131" s="136">
        <f>100*J131-100</f>
        <v>-100</v>
      </c>
      <c r="L131" s="136"/>
      <c r="M131" s="136"/>
      <c r="N131" s="138"/>
      <c r="O131" s="138"/>
    </row>
    <row r="132" spans="6:16" hidden="1" x14ac:dyDescent="0.25">
      <c r="G132" s="144">
        <v>44356</v>
      </c>
      <c r="H132" s="136">
        <f t="shared" si="2"/>
        <v>1002</v>
      </c>
      <c r="I132" s="133"/>
      <c r="J132" s="138"/>
      <c r="K132" s="138"/>
      <c r="L132" s="138"/>
      <c r="M132" s="138"/>
      <c r="N132" s="138"/>
      <c r="O132" s="138"/>
    </row>
    <row r="133" spans="6:16" hidden="1" x14ac:dyDescent="0.25">
      <c r="G133" s="144">
        <v>44356</v>
      </c>
      <c r="H133" s="136">
        <f t="shared" si="2"/>
        <v>1003</v>
      </c>
      <c r="I133" s="133">
        <v>9</v>
      </c>
      <c r="J133" s="138"/>
      <c r="K133" s="138"/>
      <c r="L133" s="138"/>
      <c r="M133" s="138"/>
      <c r="N133" s="138"/>
      <c r="O133" s="138"/>
    </row>
    <row r="134" spans="6:16" x14ac:dyDescent="0.25">
      <c r="G134" s="144">
        <v>44356</v>
      </c>
      <c r="H134" s="136">
        <f t="shared" si="2"/>
        <v>1004</v>
      </c>
      <c r="I134" s="133"/>
      <c r="J134" s="138">
        <v>0</v>
      </c>
      <c r="K134" s="136">
        <f>100*J134-100</f>
        <v>-100</v>
      </c>
      <c r="L134" s="138"/>
      <c r="M134" s="136"/>
      <c r="N134" s="138"/>
      <c r="O134" s="138"/>
    </row>
    <row r="135" spans="6:16" hidden="1" x14ac:dyDescent="0.25">
      <c r="G135" s="144">
        <v>44356</v>
      </c>
      <c r="H135" s="136">
        <f t="shared" ref="H135:H198" si="3">H134+1</f>
        <v>1005</v>
      </c>
      <c r="I135" s="133">
        <v>9</v>
      </c>
      <c r="J135" s="138"/>
      <c r="K135" s="138"/>
      <c r="L135" s="138"/>
      <c r="M135" s="138"/>
      <c r="N135" s="136"/>
      <c r="O135" s="138"/>
    </row>
    <row r="136" spans="6:16" x14ac:dyDescent="0.25">
      <c r="G136" s="144">
        <v>44356</v>
      </c>
      <c r="H136" s="136">
        <f t="shared" si="3"/>
        <v>1006</v>
      </c>
      <c r="I136" s="133">
        <v>9</v>
      </c>
      <c r="J136" s="138">
        <v>15.86</v>
      </c>
      <c r="K136" s="136">
        <f>100*J136-100</f>
        <v>1486</v>
      </c>
      <c r="L136" s="138"/>
      <c r="M136" s="136"/>
      <c r="N136" s="138"/>
      <c r="O136" s="138"/>
    </row>
    <row r="137" spans="6:16" x14ac:dyDescent="0.25">
      <c r="G137" s="144">
        <v>44356</v>
      </c>
      <c r="H137" s="136">
        <f t="shared" si="3"/>
        <v>1007</v>
      </c>
      <c r="I137" s="133"/>
      <c r="J137" s="138">
        <v>0</v>
      </c>
      <c r="K137" s="136">
        <f>100*J137-100</f>
        <v>-100</v>
      </c>
      <c r="L137" s="138"/>
      <c r="M137" s="136"/>
      <c r="N137" s="138"/>
      <c r="O137" s="138"/>
    </row>
    <row r="138" spans="6:16" hidden="1" x14ac:dyDescent="0.25">
      <c r="F138" s="135"/>
      <c r="G138" s="144">
        <v>44356</v>
      </c>
      <c r="H138" s="136">
        <f t="shared" si="3"/>
        <v>1008</v>
      </c>
      <c r="I138" s="133"/>
      <c r="J138" s="138"/>
      <c r="K138" s="138"/>
      <c r="L138" s="138"/>
      <c r="M138" s="138"/>
      <c r="N138" s="138"/>
      <c r="O138" s="138"/>
    </row>
    <row r="139" spans="6:16" hidden="1" x14ac:dyDescent="0.25">
      <c r="G139" s="144">
        <v>44356</v>
      </c>
      <c r="H139" s="136">
        <f t="shared" si="3"/>
        <v>1009</v>
      </c>
      <c r="I139" s="133"/>
      <c r="J139" s="138"/>
      <c r="K139" s="138"/>
      <c r="L139" s="136"/>
      <c r="M139" s="138"/>
      <c r="N139" s="138"/>
      <c r="O139" s="138"/>
    </row>
    <row r="140" spans="6:16" hidden="1" x14ac:dyDescent="0.25">
      <c r="F140" s="135"/>
      <c r="G140" s="144">
        <v>44356</v>
      </c>
      <c r="H140" s="136">
        <f t="shared" si="3"/>
        <v>1010</v>
      </c>
      <c r="I140" s="133"/>
      <c r="J140" s="138"/>
      <c r="K140" s="138"/>
      <c r="L140" s="138"/>
      <c r="M140" s="138"/>
      <c r="N140" s="138"/>
      <c r="O140" s="138"/>
    </row>
    <row r="141" spans="6:16" hidden="1" x14ac:dyDescent="0.25">
      <c r="G141" s="144">
        <v>44356</v>
      </c>
      <c r="H141" s="136">
        <f t="shared" si="3"/>
        <v>1011</v>
      </c>
      <c r="I141" s="133"/>
      <c r="J141" s="138"/>
      <c r="K141" s="138"/>
      <c r="L141" s="136"/>
      <c r="M141" s="138"/>
      <c r="N141" s="138"/>
      <c r="O141" s="138"/>
    </row>
    <row r="142" spans="6:16" hidden="1" x14ac:dyDescent="0.25">
      <c r="G142" s="144">
        <v>44356</v>
      </c>
      <c r="H142" s="136">
        <f t="shared" si="3"/>
        <v>1012</v>
      </c>
      <c r="I142" s="133"/>
      <c r="J142" s="138"/>
      <c r="K142" s="138"/>
      <c r="L142" s="138"/>
      <c r="M142" s="138"/>
      <c r="N142" s="138"/>
      <c r="O142" s="138"/>
      <c r="P142" s="89"/>
    </row>
    <row r="143" spans="6:16" hidden="1" x14ac:dyDescent="0.25">
      <c r="G143" s="144">
        <v>44356</v>
      </c>
      <c r="H143" s="136">
        <f t="shared" si="3"/>
        <v>1013</v>
      </c>
      <c r="I143" s="133">
        <v>9</v>
      </c>
      <c r="J143" s="138"/>
      <c r="K143" s="138"/>
      <c r="L143" s="138"/>
      <c r="M143" s="138"/>
      <c r="N143" s="138"/>
      <c r="O143" s="138"/>
    </row>
    <row r="144" spans="6:16" x14ac:dyDescent="0.25">
      <c r="G144" s="144">
        <v>44356</v>
      </c>
      <c r="H144" s="136">
        <f t="shared" si="3"/>
        <v>1014</v>
      </c>
      <c r="I144" s="133"/>
      <c r="J144" s="138">
        <v>0</v>
      </c>
      <c r="K144" s="136">
        <f>100*J144-100</f>
        <v>-100</v>
      </c>
      <c r="L144" s="138"/>
      <c r="M144" s="136"/>
      <c r="N144" s="136"/>
      <c r="O144" s="138"/>
    </row>
    <row r="145" spans="6:18" hidden="1" x14ac:dyDescent="0.25">
      <c r="G145" s="144">
        <v>44356</v>
      </c>
      <c r="H145" s="136">
        <f t="shared" si="3"/>
        <v>1015</v>
      </c>
      <c r="I145" s="133"/>
      <c r="J145" s="138"/>
      <c r="K145" s="138"/>
      <c r="L145" s="138"/>
      <c r="M145" s="138"/>
      <c r="N145" s="138"/>
      <c r="O145" s="138"/>
    </row>
    <row r="146" spans="6:18" hidden="1" x14ac:dyDescent="0.25">
      <c r="G146" s="144">
        <v>44356</v>
      </c>
      <c r="H146" s="136">
        <f t="shared" si="3"/>
        <v>1016</v>
      </c>
      <c r="I146" s="133"/>
      <c r="J146" s="138"/>
      <c r="K146" s="138"/>
      <c r="L146" s="138"/>
      <c r="M146" s="138"/>
      <c r="N146" s="136"/>
      <c r="O146" s="138"/>
    </row>
    <row r="147" spans="6:18" hidden="1" x14ac:dyDescent="0.25">
      <c r="G147" s="144">
        <v>44356</v>
      </c>
      <c r="H147" s="136">
        <f t="shared" si="3"/>
        <v>1017</v>
      </c>
      <c r="I147" s="133"/>
      <c r="J147" s="138"/>
      <c r="K147" s="138"/>
      <c r="L147" s="138"/>
      <c r="M147" s="138"/>
      <c r="N147" s="138"/>
      <c r="O147" s="138"/>
    </row>
    <row r="148" spans="6:18" hidden="1" x14ac:dyDescent="0.25">
      <c r="F148" s="135"/>
      <c r="G148" s="144">
        <v>44356</v>
      </c>
      <c r="H148" s="136">
        <f t="shared" si="3"/>
        <v>1018</v>
      </c>
      <c r="I148" s="133"/>
      <c r="J148" s="138"/>
      <c r="K148" s="138"/>
      <c r="L148" s="138"/>
      <c r="M148" s="138"/>
      <c r="N148" s="136"/>
      <c r="O148" s="138"/>
    </row>
    <row r="149" spans="6:18" hidden="1" x14ac:dyDescent="0.25">
      <c r="G149" s="144">
        <v>44356</v>
      </c>
      <c r="H149" s="136">
        <f t="shared" si="3"/>
        <v>1019</v>
      </c>
      <c r="I149" s="133">
        <v>9.1</v>
      </c>
      <c r="J149" s="138"/>
      <c r="K149" s="138"/>
      <c r="L149" s="136"/>
      <c r="M149" s="138"/>
      <c r="N149" s="138"/>
      <c r="O149" s="138"/>
    </row>
    <row r="150" spans="6:18" x14ac:dyDescent="0.25">
      <c r="F150" s="135"/>
      <c r="G150" s="144">
        <v>44356</v>
      </c>
      <c r="H150" s="136">
        <f t="shared" si="3"/>
        <v>1020</v>
      </c>
      <c r="I150" s="133"/>
      <c r="J150" s="138">
        <v>0</v>
      </c>
      <c r="K150" s="136">
        <f>100*J150-100</f>
        <v>-100</v>
      </c>
      <c r="L150" s="138"/>
      <c r="M150" s="136"/>
      <c r="N150" s="136"/>
      <c r="O150" s="138"/>
    </row>
    <row r="151" spans="6:18" hidden="1" x14ac:dyDescent="0.25">
      <c r="G151" s="144">
        <v>44356</v>
      </c>
      <c r="H151" s="136">
        <f t="shared" si="3"/>
        <v>1021</v>
      </c>
      <c r="I151" s="133"/>
      <c r="J151" s="138"/>
      <c r="K151" s="138"/>
      <c r="L151" s="136"/>
      <c r="M151" s="138"/>
      <c r="N151" s="138"/>
      <c r="O151" s="138"/>
    </row>
    <row r="152" spans="6:18" hidden="1" x14ac:dyDescent="0.25">
      <c r="F152" s="135"/>
      <c r="G152" s="144">
        <v>44356</v>
      </c>
      <c r="H152" s="136">
        <f t="shared" si="3"/>
        <v>1022</v>
      </c>
      <c r="I152" s="133">
        <v>9</v>
      </c>
      <c r="J152" s="138"/>
      <c r="K152" s="138"/>
      <c r="L152" s="138"/>
      <c r="M152" s="138"/>
      <c r="N152" s="136"/>
      <c r="O152" s="138"/>
    </row>
    <row r="153" spans="6:18" x14ac:dyDescent="0.25">
      <c r="F153" s="135"/>
      <c r="G153" s="144">
        <v>44356</v>
      </c>
      <c r="H153" s="136">
        <f t="shared" si="3"/>
        <v>1023</v>
      </c>
      <c r="I153" s="133"/>
      <c r="J153" s="138">
        <v>0</v>
      </c>
      <c r="K153" s="136">
        <f>100*J153-100</f>
        <v>-100</v>
      </c>
      <c r="L153" s="136"/>
      <c r="M153" s="136"/>
      <c r="N153" s="138"/>
      <c r="O153" s="138"/>
    </row>
    <row r="154" spans="6:18" hidden="1" x14ac:dyDescent="0.25">
      <c r="G154" s="144">
        <v>44356</v>
      </c>
      <c r="H154" s="136">
        <f t="shared" si="3"/>
        <v>1024</v>
      </c>
      <c r="I154" s="133">
        <v>9.1</v>
      </c>
      <c r="J154" s="138"/>
      <c r="K154" s="138"/>
      <c r="L154" s="138"/>
      <c r="M154" s="138"/>
      <c r="N154" s="138"/>
      <c r="O154" s="138"/>
    </row>
    <row r="155" spans="6:18" x14ac:dyDescent="0.25">
      <c r="G155" s="144">
        <v>44356</v>
      </c>
      <c r="H155" s="136">
        <f t="shared" si="3"/>
        <v>1025</v>
      </c>
      <c r="I155" s="133">
        <v>9.1</v>
      </c>
      <c r="J155" s="138">
        <v>15.86</v>
      </c>
      <c r="K155" s="136">
        <f>100*J155-100</f>
        <v>1486</v>
      </c>
      <c r="L155" s="138"/>
      <c r="M155" s="136"/>
      <c r="N155" s="136"/>
      <c r="O155" s="138"/>
    </row>
    <row r="156" spans="6:18" x14ac:dyDescent="0.25">
      <c r="G156" s="144">
        <v>44356</v>
      </c>
      <c r="H156" s="136">
        <f t="shared" si="3"/>
        <v>1026</v>
      </c>
      <c r="I156" s="133">
        <v>9</v>
      </c>
      <c r="J156" s="138">
        <v>0</v>
      </c>
      <c r="K156" s="136">
        <f>100*J156-100</f>
        <v>-100</v>
      </c>
      <c r="L156" s="138"/>
      <c r="M156" s="136"/>
      <c r="N156" s="138"/>
      <c r="O156" s="138"/>
    </row>
    <row r="157" spans="6:18" x14ac:dyDescent="0.25">
      <c r="G157" s="144">
        <v>44356</v>
      </c>
      <c r="H157" s="136">
        <f t="shared" si="3"/>
        <v>1027</v>
      </c>
      <c r="I157" s="133"/>
      <c r="J157" s="138">
        <v>0</v>
      </c>
      <c r="K157" s="136">
        <f>100*J157-100</f>
        <v>-100</v>
      </c>
      <c r="L157" s="138"/>
      <c r="M157" s="136"/>
      <c r="N157" s="136"/>
      <c r="O157" s="138"/>
      <c r="R157" s="89"/>
    </row>
    <row r="158" spans="6:18" hidden="1" x14ac:dyDescent="0.25">
      <c r="G158" s="144">
        <v>44356</v>
      </c>
      <c r="H158" s="136">
        <f t="shared" si="3"/>
        <v>1028</v>
      </c>
      <c r="I158" s="133">
        <v>9</v>
      </c>
      <c r="J158" s="138"/>
      <c r="K158" s="138"/>
      <c r="L158" s="138"/>
      <c r="M158" s="138"/>
      <c r="N158" s="138"/>
      <c r="O158" s="138"/>
    </row>
    <row r="159" spans="6:18" x14ac:dyDescent="0.25">
      <c r="G159" s="144">
        <v>44356</v>
      </c>
      <c r="H159" s="136">
        <f t="shared" si="3"/>
        <v>1029</v>
      </c>
      <c r="I159" s="133">
        <v>9</v>
      </c>
      <c r="J159" s="138">
        <v>15.86</v>
      </c>
      <c r="K159" s="136">
        <f>100*J159-100</f>
        <v>1486</v>
      </c>
      <c r="L159" s="138"/>
      <c r="M159" s="136"/>
      <c r="N159" s="138"/>
      <c r="O159" s="138"/>
    </row>
    <row r="160" spans="6:18" x14ac:dyDescent="0.25">
      <c r="G160" s="144">
        <v>44356</v>
      </c>
      <c r="H160" s="136">
        <f t="shared" si="3"/>
        <v>1030</v>
      </c>
      <c r="I160" s="133">
        <v>9.1</v>
      </c>
      <c r="J160" s="138">
        <v>0</v>
      </c>
      <c r="K160" s="136">
        <f>100*J160-100</f>
        <v>-100</v>
      </c>
      <c r="L160" s="138"/>
      <c r="M160" s="136"/>
      <c r="N160" s="145"/>
      <c r="O160" s="138"/>
    </row>
    <row r="161" spans="6:18" x14ac:dyDescent="0.25">
      <c r="F161" s="135"/>
      <c r="G161" s="144">
        <v>44356</v>
      </c>
      <c r="H161" s="136">
        <f t="shared" si="3"/>
        <v>1031</v>
      </c>
      <c r="I161" s="133"/>
      <c r="J161" s="138">
        <v>0</v>
      </c>
      <c r="K161" s="136">
        <f>100*J161-100</f>
        <v>-100</v>
      </c>
      <c r="L161" s="138"/>
      <c r="M161" s="136"/>
      <c r="N161" s="138"/>
      <c r="O161" s="138"/>
    </row>
    <row r="162" spans="6:18" hidden="1" x14ac:dyDescent="0.25">
      <c r="G162" s="144">
        <v>44356</v>
      </c>
      <c r="H162" s="136">
        <f t="shared" si="3"/>
        <v>1032</v>
      </c>
      <c r="I162" s="133"/>
      <c r="J162" s="138"/>
      <c r="K162" s="138"/>
      <c r="L162" s="136"/>
      <c r="M162" s="138"/>
      <c r="N162" s="138"/>
      <c r="O162" s="138"/>
    </row>
    <row r="163" spans="6:18" hidden="1" x14ac:dyDescent="0.25">
      <c r="G163" s="144">
        <v>44356</v>
      </c>
      <c r="H163" s="136">
        <f t="shared" si="3"/>
        <v>1033</v>
      </c>
      <c r="I163" s="133"/>
      <c r="J163" s="138"/>
      <c r="K163" s="138"/>
      <c r="L163" s="138"/>
      <c r="M163" s="138"/>
      <c r="N163" s="136"/>
      <c r="O163" s="138"/>
      <c r="R163" s="91"/>
    </row>
    <row r="164" spans="6:18" hidden="1" x14ac:dyDescent="0.25">
      <c r="G164" s="144">
        <v>44356</v>
      </c>
      <c r="H164" s="136">
        <f t="shared" si="3"/>
        <v>1034</v>
      </c>
      <c r="I164" s="133"/>
      <c r="J164" s="138"/>
      <c r="K164" s="138"/>
      <c r="L164" s="136"/>
      <c r="M164" s="138"/>
      <c r="N164" s="138"/>
      <c r="O164" s="138"/>
    </row>
    <row r="165" spans="6:18" hidden="1" x14ac:dyDescent="0.25">
      <c r="G165" s="144">
        <v>44356</v>
      </c>
      <c r="H165" s="136">
        <f t="shared" si="3"/>
        <v>1035</v>
      </c>
      <c r="I165" s="133"/>
      <c r="J165" s="138"/>
      <c r="K165" s="138"/>
      <c r="L165" s="138"/>
      <c r="M165" s="138"/>
      <c r="N165" s="138"/>
      <c r="O165" s="138"/>
    </row>
    <row r="166" spans="6:18" hidden="1" x14ac:dyDescent="0.25">
      <c r="G166" s="144">
        <v>44356</v>
      </c>
      <c r="H166" s="136">
        <f t="shared" si="3"/>
        <v>1036</v>
      </c>
      <c r="I166" s="133"/>
      <c r="J166" s="138"/>
      <c r="K166" s="138"/>
      <c r="L166" s="138"/>
      <c r="M166" s="138"/>
      <c r="N166" s="136"/>
      <c r="O166" s="138"/>
    </row>
    <row r="167" spans="6:18" hidden="1" x14ac:dyDescent="0.25">
      <c r="G167" s="144">
        <v>44356</v>
      </c>
      <c r="H167" s="136">
        <f t="shared" si="3"/>
        <v>1037</v>
      </c>
      <c r="I167" s="133">
        <v>9</v>
      </c>
      <c r="J167" s="138"/>
      <c r="K167" s="138"/>
      <c r="L167" s="138"/>
      <c r="M167" s="138"/>
      <c r="N167" s="138"/>
      <c r="O167" s="138"/>
    </row>
    <row r="168" spans="6:18" x14ac:dyDescent="0.25">
      <c r="G168" s="144">
        <v>44356</v>
      </c>
      <c r="H168" s="136">
        <f t="shared" si="3"/>
        <v>1038</v>
      </c>
      <c r="I168" s="133">
        <v>9.1</v>
      </c>
      <c r="J168" s="138">
        <v>0</v>
      </c>
      <c r="K168" s="136">
        <f>100*J168-100</f>
        <v>-100</v>
      </c>
      <c r="L168" s="138"/>
      <c r="M168" s="136"/>
      <c r="N168" s="138"/>
      <c r="O168" s="138"/>
    </row>
    <row r="169" spans="6:18" x14ac:dyDescent="0.25">
      <c r="G169" s="144">
        <v>44356</v>
      </c>
      <c r="H169" s="136">
        <f t="shared" si="3"/>
        <v>1039</v>
      </c>
      <c r="I169" s="133">
        <v>9.1</v>
      </c>
      <c r="J169" s="138">
        <v>15.86</v>
      </c>
      <c r="K169" s="136">
        <f>100*J169-100</f>
        <v>1486</v>
      </c>
      <c r="L169" s="138"/>
      <c r="M169" s="136"/>
      <c r="N169" s="145"/>
      <c r="O169" s="138"/>
    </row>
    <row r="170" spans="6:18" x14ac:dyDescent="0.25">
      <c r="G170" s="144">
        <v>44356</v>
      </c>
      <c r="H170" s="136">
        <f t="shared" si="3"/>
        <v>1040</v>
      </c>
      <c r="I170" s="133"/>
      <c r="J170" s="138">
        <v>0</v>
      </c>
      <c r="K170" s="136">
        <f>100*J170-100</f>
        <v>-100</v>
      </c>
      <c r="L170" s="138"/>
      <c r="M170" s="136"/>
      <c r="N170" s="138"/>
      <c r="O170" s="138"/>
    </row>
    <row r="171" spans="6:18" hidden="1" x14ac:dyDescent="0.25">
      <c r="G171" s="144">
        <v>44356</v>
      </c>
      <c r="H171" s="136">
        <f t="shared" si="3"/>
        <v>1041</v>
      </c>
      <c r="I171" s="133"/>
      <c r="J171" s="138"/>
      <c r="K171" s="138"/>
      <c r="L171" s="138"/>
      <c r="M171" s="138"/>
      <c r="N171" s="138"/>
      <c r="O171" s="138"/>
    </row>
    <row r="172" spans="6:18" hidden="1" x14ac:dyDescent="0.25">
      <c r="G172" s="144">
        <v>44356</v>
      </c>
      <c r="H172" s="136">
        <f t="shared" si="3"/>
        <v>1042</v>
      </c>
      <c r="I172" s="133"/>
      <c r="J172" s="138"/>
      <c r="K172" s="138"/>
      <c r="L172" s="138"/>
      <c r="M172" s="138"/>
      <c r="N172" s="138"/>
      <c r="O172" s="138"/>
    </row>
    <row r="173" spans="6:18" hidden="1" x14ac:dyDescent="0.25">
      <c r="G173" s="144">
        <v>44356</v>
      </c>
      <c r="H173" s="136">
        <f t="shared" si="3"/>
        <v>1043</v>
      </c>
      <c r="I173" s="133">
        <v>9.1</v>
      </c>
      <c r="J173" s="138"/>
      <c r="K173" s="138"/>
      <c r="L173" s="138"/>
      <c r="M173" s="138"/>
      <c r="N173" s="138"/>
      <c r="O173" s="138"/>
    </row>
    <row r="174" spans="6:18" x14ac:dyDescent="0.25">
      <c r="G174" s="144">
        <v>44356</v>
      </c>
      <c r="H174" s="136">
        <f t="shared" si="3"/>
        <v>1044</v>
      </c>
      <c r="I174" s="133">
        <v>9.1</v>
      </c>
      <c r="J174" s="138">
        <v>15.86</v>
      </c>
      <c r="K174" s="136">
        <f>100*J174-100</f>
        <v>1486</v>
      </c>
      <c r="L174" s="138"/>
      <c r="M174" s="136"/>
      <c r="N174" s="138"/>
      <c r="O174" s="138"/>
    </row>
    <row r="175" spans="6:18" x14ac:dyDescent="0.25">
      <c r="G175" s="144">
        <v>44356</v>
      </c>
      <c r="H175" s="136">
        <f t="shared" si="3"/>
        <v>1045</v>
      </c>
      <c r="I175" s="133"/>
      <c r="J175" s="138">
        <v>0</v>
      </c>
      <c r="K175" s="136">
        <f>100*J175-100</f>
        <v>-100</v>
      </c>
      <c r="L175" s="138"/>
      <c r="M175" s="136"/>
      <c r="N175" s="136"/>
      <c r="O175" s="138"/>
    </row>
    <row r="176" spans="6:18" hidden="1" x14ac:dyDescent="0.25">
      <c r="G176" s="144">
        <v>44356</v>
      </c>
      <c r="H176" s="136">
        <f t="shared" si="3"/>
        <v>1046</v>
      </c>
      <c r="I176" s="133"/>
      <c r="J176" s="138"/>
      <c r="K176" s="138"/>
      <c r="L176" s="138"/>
      <c r="M176" s="138"/>
      <c r="N176" s="138"/>
      <c r="O176" s="138"/>
    </row>
    <row r="177" spans="6:15" hidden="1" x14ac:dyDescent="0.25">
      <c r="G177" s="144">
        <v>44356</v>
      </c>
      <c r="H177" s="136">
        <f t="shared" si="3"/>
        <v>1047</v>
      </c>
      <c r="I177" s="133"/>
      <c r="J177" s="138"/>
      <c r="K177" s="138"/>
      <c r="L177" s="138"/>
      <c r="M177" s="138"/>
      <c r="N177" s="138"/>
      <c r="O177" s="138"/>
    </row>
    <row r="178" spans="6:15" hidden="1" x14ac:dyDescent="0.25">
      <c r="F178" s="135"/>
      <c r="G178" s="144">
        <v>44356</v>
      </c>
      <c r="H178" s="136">
        <f t="shared" si="3"/>
        <v>1048</v>
      </c>
      <c r="I178" s="133">
        <v>9.1</v>
      </c>
      <c r="J178" s="138"/>
      <c r="K178" s="138"/>
      <c r="L178" s="138"/>
      <c r="M178" s="138"/>
      <c r="N178" s="136"/>
      <c r="O178" s="138"/>
    </row>
    <row r="179" spans="6:15" x14ac:dyDescent="0.25">
      <c r="G179" s="144">
        <v>44356</v>
      </c>
      <c r="H179" s="136">
        <f t="shared" si="3"/>
        <v>1049</v>
      </c>
      <c r="I179" s="133">
        <v>9.1</v>
      </c>
      <c r="J179" s="138">
        <v>15.86</v>
      </c>
      <c r="K179" s="136">
        <f>100*J179-100</f>
        <v>1486</v>
      </c>
      <c r="L179" s="145"/>
      <c r="M179" s="136"/>
      <c r="N179" s="138"/>
      <c r="O179" s="138"/>
    </row>
    <row r="180" spans="6:15" x14ac:dyDescent="0.25">
      <c r="G180" s="144">
        <v>44356</v>
      </c>
      <c r="H180" s="136">
        <f t="shared" si="3"/>
        <v>1050</v>
      </c>
      <c r="I180" s="133">
        <v>9</v>
      </c>
      <c r="J180" s="138">
        <v>0</v>
      </c>
      <c r="K180" s="136">
        <f>100*J180-100</f>
        <v>-100</v>
      </c>
      <c r="L180" s="138"/>
      <c r="M180" s="136"/>
      <c r="N180" s="145"/>
      <c r="O180" s="138"/>
    </row>
    <row r="181" spans="6:15" x14ac:dyDescent="0.25">
      <c r="G181" s="144">
        <v>44356</v>
      </c>
      <c r="H181" s="136">
        <f t="shared" si="3"/>
        <v>1051</v>
      </c>
      <c r="I181" s="133"/>
      <c r="J181" s="138">
        <v>0</v>
      </c>
      <c r="K181" s="136">
        <f>100*J181-100</f>
        <v>-100</v>
      </c>
      <c r="L181" s="138"/>
      <c r="M181" s="136"/>
      <c r="N181" s="138"/>
      <c r="O181" s="138"/>
    </row>
    <row r="182" spans="6:15" hidden="1" x14ac:dyDescent="0.25">
      <c r="F182" s="135"/>
      <c r="G182" s="144">
        <v>44356</v>
      </c>
      <c r="H182" s="136">
        <f t="shared" si="3"/>
        <v>1052</v>
      </c>
      <c r="I182" s="133">
        <v>9</v>
      </c>
      <c r="J182" s="138"/>
      <c r="K182" s="138"/>
      <c r="L182" s="138"/>
      <c r="M182" s="138"/>
      <c r="N182" s="136"/>
      <c r="O182" s="138"/>
    </row>
    <row r="183" spans="6:15" x14ac:dyDescent="0.25">
      <c r="G183" s="144">
        <v>44356</v>
      </c>
      <c r="H183" s="136">
        <f t="shared" si="3"/>
        <v>1053</v>
      </c>
      <c r="I183" s="133"/>
      <c r="J183" s="138">
        <v>0</v>
      </c>
      <c r="K183" s="136">
        <f>100*J183-100</f>
        <v>-100</v>
      </c>
      <c r="L183" s="136"/>
      <c r="M183" s="136"/>
      <c r="N183" s="138"/>
      <c r="O183" s="138"/>
    </row>
    <row r="184" spans="6:15" hidden="1" x14ac:dyDescent="0.25">
      <c r="G184" s="144">
        <v>44356</v>
      </c>
      <c r="H184" s="136">
        <f t="shared" si="3"/>
        <v>1054</v>
      </c>
      <c r="I184" s="133"/>
      <c r="J184" s="138"/>
      <c r="K184" s="138"/>
      <c r="L184" s="138"/>
      <c r="M184" s="138"/>
      <c r="N184" s="136"/>
      <c r="O184" s="138"/>
    </row>
    <row r="185" spans="6:15" hidden="1" x14ac:dyDescent="0.25">
      <c r="G185" s="144">
        <v>44356</v>
      </c>
      <c r="H185" s="136">
        <f t="shared" si="3"/>
        <v>1055</v>
      </c>
      <c r="I185" s="133"/>
      <c r="J185" s="138"/>
      <c r="K185" s="138"/>
      <c r="L185" s="138"/>
      <c r="M185" s="138"/>
      <c r="N185" s="138"/>
      <c r="O185" s="138"/>
    </row>
    <row r="186" spans="6:15" hidden="1" x14ac:dyDescent="0.25">
      <c r="G186" s="144">
        <v>44356</v>
      </c>
      <c r="H186" s="136">
        <f t="shared" si="3"/>
        <v>1056</v>
      </c>
      <c r="I186" s="133"/>
      <c r="J186" s="138"/>
      <c r="K186" s="138"/>
      <c r="L186" s="138"/>
      <c r="M186" s="138"/>
      <c r="N186" s="138"/>
      <c r="O186" s="138"/>
    </row>
    <row r="187" spans="6:15" hidden="1" x14ac:dyDescent="0.25">
      <c r="G187" s="144">
        <v>44356</v>
      </c>
      <c r="H187" s="136">
        <f t="shared" si="3"/>
        <v>1057</v>
      </c>
      <c r="I187" s="133"/>
      <c r="J187" s="138"/>
      <c r="K187" s="138"/>
      <c r="L187" s="138"/>
      <c r="M187" s="138"/>
      <c r="N187" s="138"/>
      <c r="O187" s="138"/>
    </row>
    <row r="188" spans="6:15" hidden="1" x14ac:dyDescent="0.25">
      <c r="G188" s="144">
        <v>44356</v>
      </c>
      <c r="H188" s="136">
        <f t="shared" si="3"/>
        <v>1058</v>
      </c>
      <c r="I188" s="133"/>
      <c r="J188" s="138"/>
      <c r="K188" s="138"/>
      <c r="L188" s="138"/>
      <c r="M188" s="138"/>
      <c r="N188" s="138"/>
      <c r="O188" s="138"/>
    </row>
    <row r="189" spans="6:15" hidden="1" x14ac:dyDescent="0.25">
      <c r="G189" s="144">
        <v>44356</v>
      </c>
      <c r="H189" s="136">
        <f t="shared" si="3"/>
        <v>1059</v>
      </c>
      <c r="I189" s="133"/>
      <c r="J189" s="138"/>
      <c r="K189" s="138"/>
      <c r="L189" s="138"/>
      <c r="M189" s="138"/>
      <c r="N189" s="138"/>
      <c r="O189" s="138"/>
    </row>
    <row r="190" spans="6:15" hidden="1" x14ac:dyDescent="0.25">
      <c r="F190" s="135"/>
      <c r="G190" s="144">
        <v>44356</v>
      </c>
      <c r="H190" s="136">
        <f t="shared" si="3"/>
        <v>1060</v>
      </c>
      <c r="I190" s="133"/>
      <c r="J190" s="138"/>
      <c r="K190" s="138"/>
      <c r="L190" s="138"/>
      <c r="M190" s="138"/>
      <c r="N190" s="138"/>
      <c r="O190" s="138"/>
    </row>
    <row r="191" spans="6:15" hidden="1" x14ac:dyDescent="0.25">
      <c r="G191" s="144">
        <v>44356</v>
      </c>
      <c r="H191" s="136">
        <f t="shared" si="3"/>
        <v>1061</v>
      </c>
      <c r="I191" s="133">
        <v>9.1</v>
      </c>
      <c r="J191" s="138"/>
      <c r="K191" s="138"/>
      <c r="L191" s="136"/>
      <c r="M191" s="138"/>
      <c r="N191" s="138"/>
      <c r="O191" s="138"/>
    </row>
    <row r="192" spans="6:15" x14ac:dyDescent="0.25">
      <c r="G192" s="144">
        <v>44356</v>
      </c>
      <c r="H192" s="136">
        <f t="shared" si="3"/>
        <v>1062</v>
      </c>
      <c r="I192" s="133"/>
      <c r="J192" s="138">
        <v>0</v>
      </c>
      <c r="K192" s="136">
        <f>100*J192-100</f>
        <v>-100</v>
      </c>
      <c r="L192" s="138"/>
      <c r="M192" s="136"/>
      <c r="N192" s="138"/>
      <c r="O192" s="138"/>
    </row>
    <row r="193" spans="6:15" hidden="1" x14ac:dyDescent="0.25">
      <c r="F193" s="135"/>
      <c r="G193" s="144">
        <v>44356</v>
      </c>
      <c r="H193" s="136">
        <f t="shared" si="3"/>
        <v>1063</v>
      </c>
      <c r="I193" s="133">
        <v>9.1</v>
      </c>
      <c r="J193" s="138"/>
      <c r="K193" s="138"/>
      <c r="L193" s="138"/>
      <c r="M193" s="138"/>
      <c r="N193" s="138"/>
      <c r="O193" s="138"/>
    </row>
    <row r="194" spans="6:15" x14ac:dyDescent="0.25">
      <c r="F194" s="135"/>
      <c r="G194" s="144">
        <v>44356</v>
      </c>
      <c r="H194" s="136">
        <f t="shared" si="3"/>
        <v>1064</v>
      </c>
      <c r="I194" s="133"/>
      <c r="J194" s="138">
        <v>0</v>
      </c>
      <c r="K194" s="136">
        <f>100*J194-100</f>
        <v>-100</v>
      </c>
      <c r="L194" s="136"/>
      <c r="M194" s="136"/>
      <c r="N194" s="138"/>
      <c r="O194" s="138"/>
    </row>
    <row r="195" spans="6:15" hidden="1" x14ac:dyDescent="0.25">
      <c r="G195" s="144">
        <v>44356</v>
      </c>
      <c r="H195" s="136">
        <f t="shared" si="3"/>
        <v>1065</v>
      </c>
      <c r="I195" s="133">
        <v>9.1</v>
      </c>
      <c r="J195" s="138"/>
      <c r="K195" s="138"/>
      <c r="L195" s="138"/>
      <c r="M195" s="138"/>
      <c r="N195" s="138"/>
      <c r="O195" s="138"/>
    </row>
    <row r="196" spans="6:15" x14ac:dyDescent="0.25">
      <c r="G196" s="144">
        <v>44356</v>
      </c>
      <c r="H196" s="136">
        <f t="shared" si="3"/>
        <v>1066</v>
      </c>
      <c r="I196" s="133"/>
      <c r="J196" s="138">
        <v>0</v>
      </c>
      <c r="K196" s="136">
        <f>100*J196-100</f>
        <v>-100</v>
      </c>
      <c r="L196" s="136"/>
      <c r="M196" s="136"/>
      <c r="N196" s="136"/>
      <c r="O196" s="138"/>
    </row>
    <row r="197" spans="6:15" hidden="1" x14ac:dyDescent="0.25">
      <c r="G197" s="144">
        <v>44356</v>
      </c>
      <c r="H197" s="136">
        <f t="shared" si="3"/>
        <v>1067</v>
      </c>
      <c r="I197" s="133"/>
      <c r="J197" s="138"/>
      <c r="K197" s="138"/>
      <c r="L197" s="138"/>
      <c r="M197" s="138"/>
      <c r="N197" s="138"/>
      <c r="O197" s="138"/>
    </row>
    <row r="198" spans="6:15" hidden="1" x14ac:dyDescent="0.25">
      <c r="G198" s="144">
        <v>44356</v>
      </c>
      <c r="H198" s="136">
        <f t="shared" si="3"/>
        <v>1068</v>
      </c>
      <c r="I198" s="133"/>
      <c r="J198" s="138"/>
      <c r="K198" s="138"/>
      <c r="L198" s="138"/>
      <c r="M198" s="138"/>
      <c r="N198" s="138"/>
      <c r="O198" s="138"/>
    </row>
    <row r="199" spans="6:15" hidden="1" x14ac:dyDescent="0.25">
      <c r="G199" s="144">
        <v>44356</v>
      </c>
      <c r="H199" s="136">
        <f t="shared" ref="H199:H244" si="4">H198+1</f>
        <v>1069</v>
      </c>
      <c r="I199" s="133"/>
      <c r="J199" s="138"/>
      <c r="K199" s="138"/>
      <c r="L199" s="138"/>
      <c r="M199" s="138"/>
      <c r="N199" s="136"/>
      <c r="O199" s="138"/>
    </row>
    <row r="200" spans="6:15" hidden="1" x14ac:dyDescent="0.25">
      <c r="G200" s="144">
        <v>44356</v>
      </c>
      <c r="H200" s="136">
        <f t="shared" si="4"/>
        <v>1070</v>
      </c>
      <c r="I200" s="133"/>
      <c r="J200" s="138"/>
      <c r="K200" s="138"/>
      <c r="L200" s="138"/>
      <c r="M200" s="138"/>
      <c r="N200" s="138"/>
      <c r="O200" s="138"/>
    </row>
    <row r="201" spans="6:15" hidden="1" x14ac:dyDescent="0.25">
      <c r="G201" s="144">
        <v>44356</v>
      </c>
      <c r="H201" s="136">
        <f t="shared" si="4"/>
        <v>1071</v>
      </c>
      <c r="I201" s="133"/>
      <c r="J201" s="138"/>
      <c r="K201" s="138"/>
      <c r="L201" s="138"/>
      <c r="M201" s="138"/>
      <c r="N201" s="138"/>
      <c r="O201" s="138"/>
    </row>
    <row r="202" spans="6:15" hidden="1" x14ac:dyDescent="0.25">
      <c r="G202" s="144">
        <v>44356</v>
      </c>
      <c r="H202" s="136">
        <f t="shared" si="4"/>
        <v>1072</v>
      </c>
      <c r="I202" s="133"/>
      <c r="J202" s="138"/>
      <c r="K202" s="138"/>
      <c r="L202" s="138"/>
      <c r="M202" s="138"/>
      <c r="N202" s="138"/>
      <c r="O202" s="138"/>
    </row>
    <row r="203" spans="6:15" hidden="1" x14ac:dyDescent="0.25">
      <c r="G203" s="144">
        <v>44356</v>
      </c>
      <c r="H203" s="136">
        <f t="shared" si="4"/>
        <v>1073</v>
      </c>
      <c r="I203" s="133">
        <v>9.1</v>
      </c>
      <c r="J203" s="138"/>
      <c r="K203" s="138"/>
      <c r="L203" s="138"/>
      <c r="M203" s="138"/>
      <c r="N203" s="138"/>
      <c r="O203" s="138"/>
    </row>
    <row r="204" spans="6:15" x14ac:dyDescent="0.25">
      <c r="G204" s="144">
        <v>44356</v>
      </c>
      <c r="H204" s="136">
        <f t="shared" si="4"/>
        <v>1074</v>
      </c>
      <c r="I204" s="133"/>
      <c r="J204" s="138">
        <v>0</v>
      </c>
      <c r="K204" s="136">
        <f>100*J204-100</f>
        <v>-100</v>
      </c>
      <c r="L204" s="136"/>
      <c r="M204" s="136"/>
      <c r="N204" s="138"/>
      <c r="O204" s="138"/>
    </row>
    <row r="205" spans="6:15" hidden="1" x14ac:dyDescent="0.25">
      <c r="G205" s="144">
        <v>44356</v>
      </c>
      <c r="H205" s="136">
        <f t="shared" si="4"/>
        <v>1075</v>
      </c>
      <c r="I205" s="133">
        <v>9.1</v>
      </c>
      <c r="J205" s="138"/>
      <c r="K205" s="138"/>
      <c r="L205" s="138"/>
      <c r="M205" s="138"/>
      <c r="N205" s="138"/>
      <c r="O205" s="138"/>
    </row>
    <row r="206" spans="6:15" x14ac:dyDescent="0.25">
      <c r="G206" s="144">
        <v>44356</v>
      </c>
      <c r="H206" s="136">
        <f t="shared" si="4"/>
        <v>1076</v>
      </c>
      <c r="I206" s="133"/>
      <c r="J206" s="138">
        <v>0</v>
      </c>
      <c r="K206" s="136">
        <f>100*J206-100</f>
        <v>-100</v>
      </c>
      <c r="L206" s="136"/>
      <c r="M206" s="136"/>
      <c r="N206" s="138"/>
      <c r="O206" s="138"/>
    </row>
    <row r="207" spans="6:15" hidden="1" x14ac:dyDescent="0.25">
      <c r="G207" s="144">
        <v>44356</v>
      </c>
      <c r="H207" s="136">
        <f t="shared" si="4"/>
        <v>1077</v>
      </c>
      <c r="I207" s="133"/>
      <c r="J207" s="138"/>
      <c r="K207" s="138"/>
      <c r="L207" s="138"/>
      <c r="M207" s="138"/>
      <c r="N207" s="138"/>
      <c r="O207" s="138"/>
    </row>
    <row r="208" spans="6:15" hidden="1" x14ac:dyDescent="0.25">
      <c r="G208" s="144">
        <v>44356</v>
      </c>
      <c r="H208" s="136">
        <f t="shared" si="4"/>
        <v>1078</v>
      </c>
      <c r="I208" s="146">
        <v>9.1</v>
      </c>
      <c r="J208" s="138"/>
      <c r="K208" s="136"/>
      <c r="L208" s="136"/>
      <c r="M208" s="136"/>
      <c r="N208" s="138"/>
      <c r="O208" s="138"/>
    </row>
    <row r="209" spans="6:15" x14ac:dyDescent="0.25">
      <c r="F209" s="135"/>
      <c r="G209" s="144">
        <v>44356</v>
      </c>
      <c r="H209" s="136">
        <f t="shared" si="4"/>
        <v>1079</v>
      </c>
      <c r="I209" s="133"/>
      <c r="J209" s="138">
        <v>0</v>
      </c>
      <c r="K209" s="136">
        <f>100*J209-100</f>
        <v>-100</v>
      </c>
      <c r="L209" s="136"/>
      <c r="M209" s="136"/>
      <c r="N209" s="136"/>
      <c r="O209" s="138"/>
    </row>
    <row r="210" spans="6:15" hidden="1" x14ac:dyDescent="0.25">
      <c r="G210" s="144">
        <v>44356</v>
      </c>
      <c r="H210" s="136">
        <f t="shared" si="4"/>
        <v>1080</v>
      </c>
      <c r="I210" s="133"/>
      <c r="J210" s="138"/>
      <c r="K210" s="138"/>
      <c r="L210" s="136"/>
      <c r="M210" s="138"/>
      <c r="N210" s="138"/>
      <c r="O210" s="138"/>
    </row>
    <row r="211" spans="6:15" hidden="1" x14ac:dyDescent="0.25">
      <c r="G211" s="144">
        <v>44356</v>
      </c>
      <c r="H211" s="136">
        <f t="shared" si="4"/>
        <v>1081</v>
      </c>
      <c r="I211" s="133"/>
      <c r="J211" s="138"/>
      <c r="K211" s="138"/>
      <c r="L211" s="138"/>
      <c r="M211" s="138"/>
      <c r="N211" s="136"/>
      <c r="O211" s="138"/>
    </row>
    <row r="212" spans="6:15" hidden="1" x14ac:dyDescent="0.25">
      <c r="G212" s="144">
        <v>44356</v>
      </c>
      <c r="H212" s="136">
        <f t="shared" si="4"/>
        <v>1082</v>
      </c>
      <c r="I212" s="133"/>
      <c r="J212" s="138"/>
      <c r="K212" s="138"/>
      <c r="L212" s="138"/>
      <c r="M212" s="138"/>
      <c r="N212" s="138"/>
      <c r="O212" s="138"/>
    </row>
    <row r="213" spans="6:15" hidden="1" x14ac:dyDescent="0.25">
      <c r="G213" s="144">
        <v>44356</v>
      </c>
      <c r="H213" s="136">
        <f t="shared" si="4"/>
        <v>1083</v>
      </c>
      <c r="I213" s="133"/>
      <c r="J213" s="138"/>
      <c r="K213" s="138"/>
      <c r="L213" s="138"/>
      <c r="M213" s="138"/>
      <c r="N213" s="138"/>
      <c r="O213" s="138"/>
    </row>
    <row r="214" spans="6:15" hidden="1" x14ac:dyDescent="0.25">
      <c r="G214" s="144">
        <v>44356</v>
      </c>
      <c r="H214" s="136">
        <f t="shared" si="4"/>
        <v>1084</v>
      </c>
      <c r="I214" s="133"/>
      <c r="J214" s="138"/>
      <c r="K214" s="138"/>
      <c r="L214" s="138"/>
      <c r="M214" s="138"/>
      <c r="N214" s="136"/>
      <c r="O214" s="138"/>
    </row>
    <row r="215" spans="6:15" hidden="1" x14ac:dyDescent="0.25">
      <c r="G215" s="144">
        <v>44356</v>
      </c>
      <c r="H215" s="136">
        <f t="shared" si="4"/>
        <v>1085</v>
      </c>
      <c r="I215" s="133"/>
      <c r="J215" s="138"/>
      <c r="K215" s="138"/>
      <c r="L215" s="138"/>
      <c r="M215" s="138"/>
      <c r="N215" s="138"/>
      <c r="O215" s="138"/>
    </row>
    <row r="216" spans="6:15" hidden="1" x14ac:dyDescent="0.25">
      <c r="F216" s="135"/>
      <c r="G216" s="144">
        <v>44356</v>
      </c>
      <c r="H216" s="136">
        <f t="shared" si="4"/>
        <v>1086</v>
      </c>
      <c r="I216" s="133"/>
      <c r="J216" s="138"/>
      <c r="K216" s="138"/>
      <c r="L216" s="138"/>
      <c r="M216" s="138"/>
      <c r="N216" s="138"/>
      <c r="O216" s="138"/>
    </row>
    <row r="217" spans="6:15" hidden="1" x14ac:dyDescent="0.25">
      <c r="G217" s="144">
        <v>44356</v>
      </c>
      <c r="H217" s="136">
        <f t="shared" si="4"/>
        <v>1087</v>
      </c>
      <c r="I217" s="133">
        <v>9.1</v>
      </c>
      <c r="J217" s="138"/>
      <c r="K217" s="138"/>
      <c r="L217" s="136"/>
      <c r="M217" s="138"/>
      <c r="N217" s="138"/>
      <c r="O217" s="138"/>
    </row>
    <row r="218" spans="6:15" x14ac:dyDescent="0.25">
      <c r="G218" s="144">
        <v>44356</v>
      </c>
      <c r="H218" s="136">
        <f t="shared" si="4"/>
        <v>1088</v>
      </c>
      <c r="I218" s="133">
        <v>9</v>
      </c>
      <c r="J218" s="138">
        <v>0</v>
      </c>
      <c r="K218" s="136">
        <f>100*J218-100</f>
        <v>-100</v>
      </c>
      <c r="L218" s="145"/>
      <c r="M218" s="136"/>
      <c r="N218" s="138"/>
      <c r="O218" s="138"/>
    </row>
    <row r="219" spans="6:15" x14ac:dyDescent="0.25">
      <c r="G219" s="144">
        <v>44356</v>
      </c>
      <c r="H219" s="136">
        <f t="shared" si="4"/>
        <v>1089</v>
      </c>
      <c r="I219" s="133"/>
      <c r="J219" s="138">
        <v>0</v>
      </c>
      <c r="K219" s="136">
        <f>100*J219-100</f>
        <v>-100</v>
      </c>
      <c r="L219" s="136"/>
      <c r="M219" s="136"/>
      <c r="N219" s="138"/>
      <c r="O219" s="138"/>
    </row>
    <row r="220" spans="6:15" hidden="1" x14ac:dyDescent="0.25">
      <c r="G220" s="144">
        <v>44356</v>
      </c>
      <c r="H220" s="136">
        <f t="shared" si="4"/>
        <v>1090</v>
      </c>
      <c r="I220" s="133">
        <v>9.1</v>
      </c>
      <c r="J220" s="138"/>
      <c r="K220" s="138"/>
      <c r="L220" s="138"/>
      <c r="M220" s="138"/>
      <c r="N220" s="136"/>
      <c r="O220" s="138"/>
    </row>
    <row r="221" spans="6:15" x14ac:dyDescent="0.25">
      <c r="G221" s="144">
        <v>44356</v>
      </c>
      <c r="H221" s="136">
        <f t="shared" si="4"/>
        <v>1091</v>
      </c>
      <c r="I221" s="133"/>
      <c r="J221" s="138">
        <v>0</v>
      </c>
      <c r="K221" s="136">
        <f>100*J221-100</f>
        <v>-100</v>
      </c>
      <c r="L221" s="136"/>
      <c r="M221" s="136"/>
      <c r="N221" s="138"/>
      <c r="O221" s="138"/>
    </row>
    <row r="222" spans="6:15" hidden="1" x14ac:dyDescent="0.25">
      <c r="G222" s="144">
        <v>44356</v>
      </c>
      <c r="H222" s="136">
        <f t="shared" si="4"/>
        <v>1092</v>
      </c>
      <c r="I222" s="133">
        <v>9.1</v>
      </c>
      <c r="J222" s="138"/>
      <c r="K222" s="138"/>
      <c r="L222" s="138"/>
      <c r="M222" s="138"/>
      <c r="N222" s="138"/>
      <c r="O222" s="138"/>
    </row>
    <row r="223" spans="6:15" x14ac:dyDescent="0.25">
      <c r="G223" s="144">
        <v>44356</v>
      </c>
      <c r="H223" s="136">
        <f t="shared" si="4"/>
        <v>1093</v>
      </c>
      <c r="I223" s="133"/>
      <c r="J223" s="138">
        <v>0</v>
      </c>
      <c r="K223" s="136">
        <f>100*J223-100</f>
        <v>-100</v>
      </c>
      <c r="L223" s="136"/>
      <c r="M223" s="136"/>
      <c r="N223" s="138"/>
      <c r="O223" s="138"/>
    </row>
    <row r="224" spans="6:15" hidden="1" x14ac:dyDescent="0.25">
      <c r="G224" s="144">
        <v>44356</v>
      </c>
      <c r="H224" s="136">
        <f t="shared" si="4"/>
        <v>1094</v>
      </c>
      <c r="I224" s="133"/>
      <c r="J224" s="138"/>
      <c r="K224" s="138"/>
      <c r="L224" s="138"/>
      <c r="M224" s="138"/>
      <c r="N224" s="138"/>
      <c r="O224" s="138"/>
    </row>
    <row r="225" spans="7:15" hidden="1" x14ac:dyDescent="0.25">
      <c r="G225" s="144">
        <v>44356</v>
      </c>
      <c r="H225" s="136">
        <f t="shared" si="4"/>
        <v>1095</v>
      </c>
      <c r="I225" s="133"/>
      <c r="J225" s="138"/>
      <c r="K225" s="138"/>
      <c r="L225" s="138"/>
      <c r="M225" s="138"/>
      <c r="N225" s="136"/>
      <c r="O225" s="138"/>
    </row>
    <row r="226" spans="7:15" hidden="1" x14ac:dyDescent="0.25">
      <c r="G226" s="144">
        <v>44356</v>
      </c>
      <c r="H226" s="136">
        <f t="shared" si="4"/>
        <v>1096</v>
      </c>
      <c r="I226" s="133"/>
      <c r="J226" s="138"/>
      <c r="K226" s="138"/>
      <c r="L226" s="138"/>
      <c r="M226" s="138"/>
      <c r="N226" s="138"/>
      <c r="O226" s="138"/>
    </row>
    <row r="227" spans="7:15" hidden="1" x14ac:dyDescent="0.25">
      <c r="G227" s="144">
        <v>44356</v>
      </c>
      <c r="H227" s="136">
        <f t="shared" si="4"/>
        <v>1097</v>
      </c>
      <c r="I227" s="133"/>
      <c r="J227" s="138"/>
      <c r="K227" s="138"/>
      <c r="L227" s="138"/>
      <c r="M227" s="138"/>
      <c r="N227" s="138"/>
      <c r="O227" s="138"/>
    </row>
    <row r="228" spans="7:15" hidden="1" x14ac:dyDescent="0.25">
      <c r="G228" s="144">
        <v>44356</v>
      </c>
      <c r="H228" s="136">
        <f t="shared" si="4"/>
        <v>1098</v>
      </c>
      <c r="I228" s="133"/>
      <c r="J228" s="138"/>
      <c r="K228" s="138"/>
      <c r="L228" s="136"/>
      <c r="M228" s="138"/>
      <c r="N228" s="138"/>
      <c r="O228" s="138"/>
    </row>
    <row r="229" spans="7:15" hidden="1" x14ac:dyDescent="0.25">
      <c r="G229" s="144">
        <v>44356</v>
      </c>
      <c r="H229" s="136">
        <f t="shared" si="4"/>
        <v>1099</v>
      </c>
      <c r="I229" s="133"/>
      <c r="J229" s="138"/>
      <c r="K229" s="138"/>
      <c r="L229" s="138"/>
      <c r="M229" s="138"/>
      <c r="N229" s="138"/>
      <c r="O229" s="138"/>
    </row>
    <row r="230" spans="7:15" hidden="1" x14ac:dyDescent="0.25">
      <c r="G230" s="144">
        <v>44356</v>
      </c>
      <c r="H230" s="136">
        <f t="shared" si="4"/>
        <v>1100</v>
      </c>
      <c r="I230" s="133"/>
      <c r="J230" s="138"/>
      <c r="K230" s="138"/>
      <c r="L230" s="138"/>
      <c r="M230" s="138"/>
      <c r="N230" s="138"/>
      <c r="O230" s="138"/>
    </row>
    <row r="231" spans="7:15" hidden="1" x14ac:dyDescent="0.25">
      <c r="G231" s="144">
        <v>44356</v>
      </c>
      <c r="H231" s="136">
        <f t="shared" si="4"/>
        <v>1101</v>
      </c>
      <c r="I231" s="133"/>
      <c r="J231" s="138"/>
      <c r="K231" s="138"/>
      <c r="L231" s="138"/>
      <c r="M231" s="138"/>
      <c r="N231" s="138"/>
      <c r="O231" s="138"/>
    </row>
    <row r="232" spans="7:15" hidden="1" x14ac:dyDescent="0.25">
      <c r="G232" s="144">
        <v>44356</v>
      </c>
      <c r="H232" s="136">
        <f t="shared" si="4"/>
        <v>1102</v>
      </c>
      <c r="I232" s="133"/>
      <c r="J232" s="138"/>
      <c r="K232" s="138"/>
      <c r="L232" s="136"/>
      <c r="M232" s="138"/>
      <c r="N232" s="138"/>
      <c r="O232" s="138"/>
    </row>
    <row r="233" spans="7:15" hidden="1" x14ac:dyDescent="0.25">
      <c r="G233" s="144">
        <v>44356</v>
      </c>
      <c r="H233" s="136">
        <f t="shared" si="4"/>
        <v>1103</v>
      </c>
      <c r="I233" s="133"/>
      <c r="J233" s="138"/>
      <c r="K233" s="138"/>
      <c r="L233" s="138"/>
      <c r="M233" s="138"/>
      <c r="N233" s="138"/>
      <c r="O233" s="138"/>
    </row>
    <row r="234" spans="7:15" hidden="1" x14ac:dyDescent="0.25">
      <c r="G234" s="144">
        <v>44356</v>
      </c>
      <c r="H234" s="136">
        <f t="shared" si="4"/>
        <v>1104</v>
      </c>
      <c r="I234" s="133"/>
      <c r="J234" s="138"/>
      <c r="K234" s="138"/>
      <c r="L234" s="138"/>
      <c r="M234" s="138"/>
      <c r="N234" s="138"/>
      <c r="O234" s="138"/>
    </row>
    <row r="235" spans="7:15" hidden="1" x14ac:dyDescent="0.25">
      <c r="G235" s="144">
        <v>44356</v>
      </c>
      <c r="H235" s="136">
        <f t="shared" si="4"/>
        <v>1105</v>
      </c>
      <c r="I235" s="133"/>
      <c r="J235" s="138"/>
      <c r="K235" s="138"/>
      <c r="L235" s="138"/>
      <c r="M235" s="138"/>
      <c r="N235" s="136"/>
      <c r="O235" s="138"/>
    </row>
    <row r="236" spans="7:15" hidden="1" x14ac:dyDescent="0.25">
      <c r="G236" s="144">
        <v>44356</v>
      </c>
      <c r="H236" s="136">
        <f t="shared" si="4"/>
        <v>1106</v>
      </c>
      <c r="I236" s="133"/>
      <c r="J236" s="138"/>
      <c r="K236" s="138"/>
      <c r="L236" s="138"/>
      <c r="M236" s="138"/>
      <c r="N236" s="138"/>
      <c r="O236" s="138"/>
    </row>
    <row r="237" spans="7:15" hidden="1" x14ac:dyDescent="0.25">
      <c r="G237" s="144">
        <v>44356</v>
      </c>
      <c r="H237" s="136">
        <f t="shared" si="4"/>
        <v>1107</v>
      </c>
      <c r="I237" s="133">
        <v>9.1</v>
      </c>
      <c r="J237" s="138"/>
      <c r="K237" s="138"/>
      <c r="L237" s="138"/>
      <c r="M237" s="138"/>
      <c r="N237" s="138"/>
      <c r="O237" s="138"/>
    </row>
    <row r="238" spans="7:15" x14ac:dyDescent="0.25">
      <c r="G238" s="144">
        <v>44356</v>
      </c>
      <c r="H238" s="136">
        <f t="shared" si="4"/>
        <v>1108</v>
      </c>
      <c r="I238" s="133">
        <v>9</v>
      </c>
      <c r="J238" s="138">
        <v>0</v>
      </c>
      <c r="K238" s="136">
        <f>100*J238-100</f>
        <v>-100</v>
      </c>
      <c r="L238" s="145"/>
      <c r="M238" s="136"/>
      <c r="N238" s="138"/>
      <c r="O238" s="138"/>
    </row>
    <row r="239" spans="7:15" x14ac:dyDescent="0.25">
      <c r="G239" s="144">
        <v>44356</v>
      </c>
      <c r="H239" s="136">
        <f t="shared" si="4"/>
        <v>1109</v>
      </c>
      <c r="I239" s="133">
        <v>9</v>
      </c>
      <c r="J239" s="138">
        <v>15.86</v>
      </c>
      <c r="K239" s="136">
        <f>100*J239-100</f>
        <v>1486</v>
      </c>
      <c r="L239" s="145"/>
      <c r="M239" s="136"/>
      <c r="N239" s="145"/>
      <c r="O239" s="138"/>
    </row>
    <row r="240" spans="7:15" x14ac:dyDescent="0.25">
      <c r="G240" s="144">
        <v>44356</v>
      </c>
      <c r="H240" s="136">
        <f t="shared" si="4"/>
        <v>1110</v>
      </c>
      <c r="I240" s="133"/>
      <c r="J240" s="138">
        <v>0</v>
      </c>
      <c r="K240" s="136">
        <f>100*J240-100</f>
        <v>-100</v>
      </c>
      <c r="L240" s="145"/>
      <c r="M240" s="136"/>
      <c r="N240" s="138"/>
      <c r="O240" s="138"/>
    </row>
    <row r="241" spans="7:15" hidden="1" x14ac:dyDescent="0.25">
      <c r="G241" s="144">
        <v>44356</v>
      </c>
      <c r="H241" s="136">
        <f t="shared" si="4"/>
        <v>1111</v>
      </c>
      <c r="I241" s="133">
        <v>9</v>
      </c>
      <c r="J241" s="138"/>
      <c r="K241" s="138"/>
      <c r="L241" s="138"/>
      <c r="M241" s="138"/>
      <c r="N241" s="136"/>
      <c r="O241" s="138"/>
    </row>
    <row r="242" spans="7:15" x14ac:dyDescent="0.25">
      <c r="G242" s="144">
        <v>44356</v>
      </c>
      <c r="H242" s="136">
        <f t="shared" si="4"/>
        <v>1112</v>
      </c>
      <c r="I242" s="133"/>
      <c r="J242" s="138">
        <v>0</v>
      </c>
      <c r="K242" s="136">
        <f>100*J242-100</f>
        <v>-100</v>
      </c>
      <c r="L242" s="145"/>
      <c r="M242" s="136"/>
      <c r="N242" s="138"/>
      <c r="O242" s="138"/>
    </row>
    <row r="243" spans="7:15" hidden="1" x14ac:dyDescent="0.25">
      <c r="G243" s="144">
        <v>44356</v>
      </c>
      <c r="H243" s="136">
        <f t="shared" si="4"/>
        <v>1113</v>
      </c>
      <c r="I243" s="133"/>
      <c r="J243" s="138"/>
      <c r="K243" s="138"/>
      <c r="L243" s="136"/>
      <c r="M243" s="138"/>
      <c r="N243" s="138"/>
      <c r="O243" s="138"/>
    </row>
    <row r="244" spans="7:15" hidden="1" x14ac:dyDescent="0.25">
      <c r="G244" s="144">
        <v>44356</v>
      </c>
      <c r="H244" s="136">
        <f t="shared" si="4"/>
        <v>1114</v>
      </c>
      <c r="I244" s="133"/>
      <c r="J244" s="138"/>
      <c r="K244" s="138"/>
      <c r="L244" s="138"/>
      <c r="M244" s="138"/>
      <c r="N244" s="136"/>
      <c r="O244" s="138"/>
    </row>
    <row r="245" spans="7:15" hidden="1" x14ac:dyDescent="0.25">
      <c r="G245" s="144"/>
      <c r="H245" s="136"/>
      <c r="I245" s="133"/>
      <c r="J245" s="138"/>
      <c r="K245" s="138"/>
      <c r="L245" s="136"/>
      <c r="M245" s="138"/>
      <c r="N245" s="138"/>
      <c r="O245" s="138"/>
    </row>
    <row r="246" spans="7:15" hidden="1" x14ac:dyDescent="0.25">
      <c r="G246" s="144"/>
      <c r="H246" s="136"/>
      <c r="I246" s="133"/>
      <c r="J246" s="138"/>
      <c r="K246" s="138"/>
      <c r="L246" s="138"/>
      <c r="M246" s="138"/>
      <c r="N246" s="138"/>
      <c r="O246" s="138"/>
    </row>
    <row r="247" spans="7:15" hidden="1" x14ac:dyDescent="0.25">
      <c r="G247" s="144"/>
      <c r="H247" s="136"/>
      <c r="I247" s="133"/>
      <c r="J247" s="138"/>
      <c r="K247" s="138"/>
      <c r="L247" s="136"/>
      <c r="M247" s="138"/>
      <c r="N247" s="138"/>
      <c r="O247" s="138"/>
    </row>
    <row r="248" spans="7:15" hidden="1" x14ac:dyDescent="0.25">
      <c r="G248" s="144"/>
      <c r="H248" s="136"/>
      <c r="I248" s="133"/>
      <c r="J248" s="138"/>
      <c r="K248" s="138"/>
      <c r="L248" s="138"/>
      <c r="M248" s="138"/>
      <c r="N248" s="138"/>
      <c r="O248" s="138"/>
    </row>
    <row r="249" spans="7:15" hidden="1" x14ac:dyDescent="0.25">
      <c r="G249" s="144"/>
      <c r="H249" s="136"/>
      <c r="I249" s="133"/>
      <c r="J249" s="138"/>
      <c r="K249" s="138"/>
      <c r="L249" s="138"/>
      <c r="M249" s="138"/>
      <c r="N249" s="136"/>
      <c r="O249" s="138"/>
    </row>
    <row r="250" spans="7:15" hidden="1" x14ac:dyDescent="0.25">
      <c r="G250" s="144"/>
      <c r="H250" s="136"/>
      <c r="I250" s="133"/>
      <c r="J250" s="138"/>
      <c r="K250" s="138"/>
      <c r="L250" s="138"/>
      <c r="M250" s="138"/>
      <c r="N250" s="138"/>
      <c r="O250" s="138"/>
    </row>
    <row r="251" spans="7:15" hidden="1" x14ac:dyDescent="0.25">
      <c r="G251" s="144"/>
      <c r="H251" s="136"/>
      <c r="I251" s="133"/>
      <c r="J251" s="138"/>
      <c r="K251" s="138"/>
      <c r="L251" s="138"/>
      <c r="M251" s="138"/>
      <c r="N251" s="136"/>
      <c r="O251" s="138"/>
    </row>
    <row r="252" spans="7:15" hidden="1" x14ac:dyDescent="0.25">
      <c r="G252" s="144"/>
      <c r="H252" s="136"/>
      <c r="I252" s="133"/>
      <c r="J252" s="138"/>
      <c r="K252" s="138"/>
      <c r="L252" s="138"/>
      <c r="M252" s="138"/>
      <c r="N252" s="138"/>
      <c r="O252" s="138"/>
    </row>
    <row r="253" spans="7:15" hidden="1" x14ac:dyDescent="0.25">
      <c r="G253" s="144"/>
      <c r="H253" s="136"/>
      <c r="I253" s="133"/>
      <c r="J253" s="138"/>
      <c r="K253" s="138"/>
      <c r="L253" s="138"/>
      <c r="M253" s="138"/>
      <c r="N253" s="138"/>
      <c r="O253" s="138"/>
    </row>
    <row r="254" spans="7:15" hidden="1" x14ac:dyDescent="0.25">
      <c r="G254" s="144"/>
      <c r="H254" s="136"/>
      <c r="I254" s="133"/>
      <c r="J254" s="138"/>
      <c r="K254" s="138"/>
      <c r="L254" s="138"/>
      <c r="M254" s="138"/>
      <c r="N254" s="136"/>
      <c r="O254" s="138"/>
    </row>
    <row r="255" spans="7:15" hidden="1" x14ac:dyDescent="0.25">
      <c r="G255" s="144"/>
      <c r="H255" s="136"/>
      <c r="I255" s="133"/>
      <c r="J255" s="138"/>
      <c r="K255" s="138"/>
      <c r="L255" s="138"/>
      <c r="M255" s="138"/>
      <c r="N255" s="138"/>
      <c r="O255" s="138"/>
    </row>
    <row r="256" spans="7:15" hidden="1" x14ac:dyDescent="0.25">
      <c r="G256" s="144"/>
      <c r="H256" s="136"/>
      <c r="I256" s="133"/>
      <c r="J256" s="138"/>
      <c r="K256" s="138"/>
      <c r="L256" s="138"/>
      <c r="M256" s="138"/>
      <c r="N256" s="138"/>
      <c r="O256" s="138"/>
    </row>
    <row r="257" spans="7:15" hidden="1" x14ac:dyDescent="0.25">
      <c r="G257" s="144"/>
      <c r="H257" s="136"/>
      <c r="I257" s="133"/>
      <c r="J257" s="138"/>
      <c r="K257" s="138"/>
      <c r="L257" s="138"/>
      <c r="M257" s="138"/>
      <c r="N257" s="138"/>
      <c r="O257" s="138"/>
    </row>
    <row r="258" spans="7:15" hidden="1" x14ac:dyDescent="0.25">
      <c r="G258" s="144"/>
      <c r="H258" s="136"/>
      <c r="I258" s="133"/>
      <c r="J258" s="138"/>
      <c r="K258" s="138"/>
      <c r="L258" s="138"/>
      <c r="M258" s="138"/>
      <c r="N258" s="138"/>
      <c r="O258" s="138"/>
    </row>
    <row r="259" spans="7:15" hidden="1" x14ac:dyDescent="0.25">
      <c r="G259" s="144"/>
      <c r="H259" s="136"/>
      <c r="I259" s="133"/>
      <c r="J259" s="138"/>
      <c r="K259" s="138"/>
      <c r="L259" s="138"/>
      <c r="M259" s="138"/>
      <c r="N259" s="136"/>
      <c r="O259" s="138"/>
    </row>
    <row r="260" spans="7:15" hidden="1" x14ac:dyDescent="0.25">
      <c r="G260" s="144"/>
      <c r="H260" s="136"/>
      <c r="I260" s="133"/>
      <c r="J260" s="138"/>
      <c r="K260" s="138"/>
      <c r="L260" s="138"/>
      <c r="M260" s="138"/>
      <c r="N260" s="138"/>
      <c r="O260" s="138"/>
    </row>
    <row r="261" spans="7:15" hidden="1" x14ac:dyDescent="0.25">
      <c r="G261" s="144"/>
      <c r="H261" s="136"/>
      <c r="I261" s="133"/>
      <c r="J261" s="138"/>
      <c r="K261" s="138"/>
      <c r="L261" s="136"/>
      <c r="M261" s="138"/>
      <c r="N261" s="138"/>
      <c r="O261" s="138"/>
    </row>
    <row r="262" spans="7:15" hidden="1" x14ac:dyDescent="0.25">
      <c r="G262" s="144"/>
      <c r="H262" s="136"/>
      <c r="I262" s="133"/>
      <c r="J262" s="138"/>
      <c r="K262" s="138"/>
      <c r="L262" s="138"/>
      <c r="M262" s="138"/>
      <c r="N262" s="138"/>
      <c r="O262" s="138"/>
    </row>
    <row r="263" spans="7:15" hidden="1" x14ac:dyDescent="0.25">
      <c r="G263" s="144"/>
      <c r="H263" s="136"/>
      <c r="I263" s="133"/>
      <c r="J263" s="138"/>
      <c r="K263" s="138"/>
      <c r="L263" s="138"/>
      <c r="M263" s="138"/>
      <c r="N263" s="136"/>
      <c r="O263" s="138"/>
    </row>
    <row r="264" spans="7:15" hidden="1" x14ac:dyDescent="0.25">
      <c r="G264" s="144"/>
      <c r="H264" s="136"/>
      <c r="I264" s="133"/>
      <c r="J264" s="138"/>
      <c r="K264" s="138"/>
      <c r="L264" s="136"/>
      <c r="M264" s="138"/>
      <c r="N264" s="138"/>
      <c r="O264" s="138"/>
    </row>
    <row r="265" spans="7:15" hidden="1" x14ac:dyDescent="0.25">
      <c r="G265" s="144"/>
      <c r="H265" s="136"/>
      <c r="I265" s="133"/>
      <c r="J265" s="138"/>
      <c r="K265" s="138"/>
      <c r="L265" s="138"/>
      <c r="M265" s="138"/>
      <c r="N265" s="138"/>
      <c r="O265" s="138"/>
    </row>
    <row r="266" spans="7:15" hidden="1" x14ac:dyDescent="0.25">
      <c r="G266" s="144"/>
      <c r="H266" s="136"/>
      <c r="I266" s="133"/>
      <c r="J266" s="138"/>
      <c r="K266" s="138"/>
      <c r="L266" s="138"/>
      <c r="M266" s="138"/>
      <c r="N266" s="136"/>
      <c r="O266" s="138"/>
    </row>
    <row r="267" spans="7:15" hidden="1" x14ac:dyDescent="0.25">
      <c r="G267" s="144"/>
      <c r="H267" s="136"/>
      <c r="I267" s="133"/>
      <c r="J267" s="138"/>
      <c r="K267" s="138"/>
      <c r="L267" s="138"/>
      <c r="M267" s="138"/>
      <c r="N267" s="138"/>
      <c r="O267" s="138"/>
    </row>
    <row r="268" spans="7:15" hidden="1" x14ac:dyDescent="0.25">
      <c r="G268" s="144"/>
      <c r="H268" s="136"/>
      <c r="I268" s="133"/>
      <c r="J268" s="138"/>
      <c r="K268" s="138"/>
      <c r="L268" s="138"/>
      <c r="M268" s="138"/>
      <c r="N268" s="138"/>
      <c r="O268" s="138"/>
    </row>
    <row r="269" spans="7:15" hidden="1" x14ac:dyDescent="0.25">
      <c r="G269" s="144"/>
      <c r="H269" s="136"/>
      <c r="I269" s="133"/>
      <c r="J269" s="138"/>
      <c r="K269" s="138"/>
      <c r="L269" s="138"/>
      <c r="M269" s="138"/>
      <c r="N269" s="136"/>
      <c r="O269" s="138"/>
    </row>
    <row r="270" spans="7:15" hidden="1" x14ac:dyDescent="0.25">
      <c r="G270" s="144"/>
      <c r="H270" s="136"/>
      <c r="I270" s="133"/>
      <c r="J270" s="138"/>
      <c r="K270" s="138"/>
      <c r="L270" s="136"/>
      <c r="M270" s="138"/>
      <c r="N270" s="138"/>
      <c r="O270" s="138"/>
    </row>
    <row r="271" spans="7:15" hidden="1" x14ac:dyDescent="0.25">
      <c r="G271" s="144"/>
      <c r="H271" s="136"/>
      <c r="I271" s="133"/>
      <c r="J271" s="138"/>
      <c r="K271" s="138"/>
      <c r="L271" s="138"/>
      <c r="M271" s="138"/>
      <c r="N271" s="138"/>
      <c r="O271" s="138"/>
    </row>
    <row r="272" spans="7:15" hidden="1" x14ac:dyDescent="0.25">
      <c r="G272" s="144"/>
      <c r="H272" s="136"/>
      <c r="I272" s="133"/>
      <c r="J272" s="138"/>
      <c r="K272" s="138"/>
      <c r="L272" s="138"/>
      <c r="M272" s="138"/>
      <c r="N272" s="136"/>
      <c r="O272" s="138"/>
    </row>
    <row r="273" spans="7:15" hidden="1" x14ac:dyDescent="0.25">
      <c r="G273" s="144"/>
      <c r="H273" s="136"/>
      <c r="I273" s="133"/>
      <c r="J273" s="138"/>
      <c r="K273" s="138"/>
      <c r="L273" s="138"/>
      <c r="M273" s="138"/>
      <c r="N273" s="138"/>
      <c r="O273" s="138"/>
    </row>
    <row r="274" spans="7:15" hidden="1" x14ac:dyDescent="0.25">
      <c r="G274" s="144"/>
      <c r="H274" s="136"/>
      <c r="I274" s="133"/>
      <c r="J274" s="138"/>
      <c r="K274" s="138"/>
      <c r="L274" s="138"/>
      <c r="M274" s="138"/>
      <c r="N274" s="138"/>
      <c r="O274" s="138"/>
    </row>
    <row r="275" spans="7:15" hidden="1" x14ac:dyDescent="0.25">
      <c r="G275" s="144"/>
      <c r="H275" s="136"/>
      <c r="I275" s="133"/>
      <c r="J275" s="138"/>
      <c r="K275" s="138"/>
      <c r="L275" s="138"/>
      <c r="M275" s="138"/>
      <c r="N275" s="138"/>
      <c r="O275" s="138"/>
    </row>
    <row r="276" spans="7:15" hidden="1" x14ac:dyDescent="0.25">
      <c r="G276" s="144"/>
      <c r="H276" s="136"/>
      <c r="I276" s="133"/>
      <c r="J276" s="138"/>
      <c r="K276" s="138"/>
      <c r="L276" s="136"/>
      <c r="M276" s="138"/>
      <c r="N276" s="138"/>
      <c r="O276" s="138"/>
    </row>
    <row r="277" spans="7:15" hidden="1" x14ac:dyDescent="0.25">
      <c r="G277" s="144"/>
      <c r="H277" s="136"/>
      <c r="I277" s="133"/>
      <c r="J277" s="138"/>
      <c r="K277" s="138"/>
      <c r="L277" s="138"/>
      <c r="M277" s="138"/>
      <c r="N277" s="136"/>
      <c r="O277" s="138"/>
    </row>
    <row r="278" spans="7:15" hidden="1" x14ac:dyDescent="0.25">
      <c r="G278" s="144"/>
      <c r="H278" s="136"/>
      <c r="I278" s="133"/>
      <c r="J278" s="138"/>
      <c r="K278" s="138"/>
      <c r="L278" s="138"/>
      <c r="M278" s="138"/>
      <c r="N278" s="138"/>
      <c r="O278" s="138"/>
    </row>
    <row r="279" spans="7:15" hidden="1" x14ac:dyDescent="0.25">
      <c r="G279" s="144"/>
      <c r="H279" s="136"/>
      <c r="I279" s="133"/>
      <c r="J279" s="138"/>
      <c r="K279" s="138"/>
      <c r="L279" s="138"/>
      <c r="M279" s="138"/>
      <c r="N279" s="136"/>
      <c r="O279" s="138"/>
    </row>
    <row r="280" spans="7:15" hidden="1" x14ac:dyDescent="0.25">
      <c r="G280" s="144"/>
      <c r="H280" s="136"/>
      <c r="I280" s="133"/>
      <c r="J280" s="138"/>
      <c r="K280" s="138"/>
      <c r="L280" s="138"/>
      <c r="M280" s="138"/>
      <c r="N280" s="138"/>
      <c r="O280" s="138"/>
    </row>
    <row r="281" spans="7:15" hidden="1" x14ac:dyDescent="0.25">
      <c r="G281" s="144"/>
      <c r="H281" s="136"/>
      <c r="I281" s="133"/>
      <c r="J281" s="138"/>
      <c r="K281" s="138"/>
      <c r="L281" s="138"/>
      <c r="M281" s="138"/>
      <c r="N281" s="138"/>
      <c r="O281" s="138"/>
    </row>
    <row r="282" spans="7:15" hidden="1" x14ac:dyDescent="0.25">
      <c r="G282" s="144"/>
      <c r="H282" s="136"/>
      <c r="I282" s="133"/>
      <c r="J282" s="138"/>
      <c r="K282" s="138"/>
      <c r="L282" s="138"/>
      <c r="M282" s="138"/>
      <c r="N282" s="136"/>
      <c r="O282" s="138"/>
    </row>
    <row r="283" spans="7:15" hidden="1" x14ac:dyDescent="0.25">
      <c r="G283" s="144"/>
      <c r="H283" s="136"/>
      <c r="I283" s="133"/>
      <c r="J283" s="138"/>
      <c r="K283" s="138"/>
      <c r="L283" s="136"/>
      <c r="M283" s="138"/>
      <c r="N283" s="138"/>
      <c r="O283" s="138"/>
    </row>
    <row r="284" spans="7:15" hidden="1" x14ac:dyDescent="0.25">
      <c r="G284" s="144"/>
      <c r="H284" s="136"/>
      <c r="I284" s="133"/>
      <c r="J284" s="138"/>
      <c r="K284" s="138"/>
      <c r="L284" s="138"/>
      <c r="M284" s="138"/>
      <c r="N284" s="138"/>
      <c r="O284" s="138"/>
    </row>
    <row r="285" spans="7:15" hidden="1" x14ac:dyDescent="0.25">
      <c r="G285" s="144"/>
      <c r="H285" s="136"/>
      <c r="I285" s="133"/>
      <c r="J285" s="138"/>
      <c r="K285" s="138"/>
      <c r="L285" s="138"/>
      <c r="M285" s="138"/>
      <c r="N285" s="138"/>
      <c r="O285" s="138"/>
    </row>
    <row r="286" spans="7:15" hidden="1" x14ac:dyDescent="0.25">
      <c r="G286" s="144"/>
      <c r="H286" s="136"/>
      <c r="I286" s="133"/>
      <c r="J286" s="138"/>
      <c r="K286" s="138"/>
      <c r="L286" s="136"/>
      <c r="M286" s="138"/>
      <c r="N286" s="138"/>
      <c r="O286" s="138"/>
    </row>
    <row r="287" spans="7:15" hidden="1" x14ac:dyDescent="0.25">
      <c r="G287" s="144"/>
      <c r="H287" s="136"/>
      <c r="I287" s="133"/>
      <c r="J287" s="138"/>
      <c r="K287" s="138"/>
      <c r="L287" s="138"/>
      <c r="M287" s="138"/>
      <c r="N287" s="138"/>
      <c r="O287" s="138"/>
    </row>
    <row r="288" spans="7:15" hidden="1" x14ac:dyDescent="0.25">
      <c r="G288" s="144"/>
      <c r="H288" s="136"/>
      <c r="I288" s="133"/>
      <c r="J288" s="138"/>
      <c r="K288" s="138"/>
      <c r="L288" s="138"/>
      <c r="M288" s="138"/>
      <c r="N288" s="138"/>
      <c r="O288" s="138"/>
    </row>
    <row r="289" spans="7:15" hidden="1" x14ac:dyDescent="0.25">
      <c r="G289" s="144"/>
      <c r="H289" s="136"/>
      <c r="I289" s="133"/>
      <c r="J289" s="138"/>
      <c r="K289" s="138"/>
      <c r="L289" s="138"/>
      <c r="M289" s="138"/>
      <c r="N289" s="138"/>
      <c r="O289" s="138"/>
    </row>
    <row r="290" spans="7:15" hidden="1" x14ac:dyDescent="0.25">
      <c r="G290" s="144"/>
      <c r="H290" s="136"/>
      <c r="I290" s="133"/>
      <c r="J290" s="138"/>
      <c r="K290" s="138"/>
      <c r="L290" s="138"/>
      <c r="M290" s="138"/>
      <c r="N290" s="138"/>
      <c r="O290" s="138"/>
    </row>
    <row r="291" spans="7:15" hidden="1" x14ac:dyDescent="0.25">
      <c r="G291" s="144"/>
      <c r="H291" s="136"/>
      <c r="I291" s="133"/>
      <c r="J291" s="138"/>
      <c r="K291" s="138"/>
      <c r="L291" s="138"/>
      <c r="M291" s="138"/>
      <c r="N291" s="138"/>
      <c r="O291" s="138"/>
    </row>
    <row r="292" spans="7:15" hidden="1" x14ac:dyDescent="0.25">
      <c r="G292" s="144"/>
      <c r="H292" s="136"/>
      <c r="I292" s="133"/>
      <c r="J292" s="138"/>
      <c r="K292" s="138"/>
      <c r="L292" s="138"/>
      <c r="M292" s="138"/>
      <c r="N292" s="138"/>
      <c r="O292" s="138"/>
    </row>
    <row r="293" spans="7:15" hidden="1" x14ac:dyDescent="0.25">
      <c r="G293" s="144"/>
      <c r="H293" s="136"/>
      <c r="I293" s="133"/>
      <c r="J293" s="138"/>
      <c r="K293" s="138"/>
      <c r="L293" s="138"/>
      <c r="M293" s="138"/>
      <c r="N293" s="138"/>
      <c r="O293" s="138"/>
    </row>
    <row r="294" spans="7:15" hidden="1" x14ac:dyDescent="0.25">
      <c r="G294" s="144"/>
      <c r="H294" s="136"/>
      <c r="I294" s="133"/>
      <c r="J294" s="138"/>
      <c r="K294" s="138"/>
      <c r="L294" s="138"/>
      <c r="M294" s="138"/>
      <c r="N294" s="136"/>
      <c r="O294" s="138"/>
    </row>
    <row r="295" spans="7:15" hidden="1" x14ac:dyDescent="0.25">
      <c r="G295" s="144"/>
      <c r="H295" s="136"/>
      <c r="I295" s="133"/>
      <c r="J295" s="138"/>
      <c r="K295" s="138"/>
      <c r="L295" s="138"/>
      <c r="M295" s="138"/>
      <c r="N295" s="138"/>
      <c r="O295" s="138"/>
    </row>
    <row r="296" spans="7:15" hidden="1" x14ac:dyDescent="0.25">
      <c r="G296" s="144"/>
      <c r="H296" s="136"/>
      <c r="I296" s="133"/>
      <c r="J296" s="138"/>
      <c r="K296" s="138"/>
      <c r="L296" s="138"/>
      <c r="M296" s="138"/>
      <c r="N296" s="136"/>
      <c r="O296" s="138"/>
    </row>
    <row r="297" spans="7:15" hidden="1" x14ac:dyDescent="0.25">
      <c r="G297" s="144"/>
      <c r="H297" s="136"/>
      <c r="I297" s="133"/>
      <c r="J297" s="138"/>
      <c r="K297" s="138"/>
      <c r="L297" s="138"/>
      <c r="M297" s="138"/>
      <c r="N297" s="138"/>
      <c r="O297" s="138"/>
    </row>
    <row r="298" spans="7:15" hidden="1" x14ac:dyDescent="0.25">
      <c r="G298" s="144"/>
      <c r="H298" s="136"/>
      <c r="I298" s="133"/>
      <c r="J298" s="138"/>
      <c r="K298" s="138"/>
      <c r="L298" s="138"/>
      <c r="M298" s="138"/>
      <c r="N298" s="136"/>
      <c r="O298" s="138"/>
    </row>
    <row r="299" spans="7:15" hidden="1" x14ac:dyDescent="0.25">
      <c r="G299" s="144"/>
      <c r="H299" s="136"/>
      <c r="I299" s="133"/>
      <c r="J299" s="138"/>
      <c r="K299" s="138"/>
      <c r="L299" s="136"/>
      <c r="M299" s="138"/>
      <c r="N299" s="138"/>
      <c r="O299" s="138"/>
    </row>
    <row r="300" spans="7:15" hidden="1" x14ac:dyDescent="0.25">
      <c r="G300" s="144"/>
      <c r="H300" s="136"/>
      <c r="I300" s="133"/>
      <c r="J300" s="138"/>
      <c r="K300" s="138"/>
      <c r="L300" s="138"/>
      <c r="M300" s="138"/>
      <c r="N300" s="138"/>
      <c r="O300" s="138"/>
    </row>
    <row r="301" spans="7:15" hidden="1" x14ac:dyDescent="0.25">
      <c r="G301" s="144"/>
      <c r="H301" s="136"/>
      <c r="I301" s="133"/>
      <c r="J301" s="138"/>
      <c r="K301" s="138"/>
      <c r="L301" s="138"/>
      <c r="M301" s="138"/>
      <c r="N301" s="136"/>
      <c r="O301" s="138"/>
    </row>
    <row r="302" spans="7:15" hidden="1" x14ac:dyDescent="0.25">
      <c r="G302" s="144"/>
      <c r="H302" s="136"/>
      <c r="I302" s="133"/>
      <c r="J302" s="138"/>
      <c r="K302" s="138"/>
      <c r="L302" s="138"/>
      <c r="M302" s="138"/>
      <c r="N302" s="138"/>
      <c r="O302" s="138"/>
    </row>
    <row r="303" spans="7:15" hidden="1" x14ac:dyDescent="0.25">
      <c r="G303" s="144"/>
      <c r="H303" s="136"/>
      <c r="I303" s="133"/>
      <c r="J303" s="138"/>
      <c r="K303" s="138"/>
      <c r="L303" s="138"/>
      <c r="M303" s="138"/>
      <c r="N303" s="136"/>
      <c r="O303" s="138"/>
    </row>
    <row r="304" spans="7:15" hidden="1" x14ac:dyDescent="0.25">
      <c r="G304" s="144"/>
      <c r="H304" s="136"/>
      <c r="I304" s="133"/>
      <c r="J304" s="138"/>
      <c r="K304" s="138"/>
      <c r="L304" s="136"/>
      <c r="M304" s="138"/>
      <c r="N304" s="138"/>
      <c r="O304" s="138"/>
    </row>
    <row r="305" spans="7:15" hidden="1" x14ac:dyDescent="0.25">
      <c r="G305" s="144"/>
      <c r="H305" s="136"/>
      <c r="I305" s="133"/>
      <c r="J305" s="138"/>
      <c r="K305" s="138"/>
      <c r="L305" s="138"/>
      <c r="M305" s="138"/>
      <c r="N305" s="138"/>
      <c r="O305" s="138"/>
    </row>
    <row r="306" spans="7:15" hidden="1" x14ac:dyDescent="0.25">
      <c r="G306" s="144"/>
      <c r="H306" s="136"/>
      <c r="I306" s="133"/>
      <c r="J306" s="138"/>
      <c r="K306" s="138"/>
      <c r="L306" s="136"/>
      <c r="M306" s="138"/>
      <c r="N306" s="138"/>
      <c r="O306" s="138"/>
    </row>
    <row r="307" spans="7:15" hidden="1" x14ac:dyDescent="0.25">
      <c r="G307" s="144"/>
      <c r="H307" s="136"/>
      <c r="I307" s="133"/>
      <c r="J307" s="138"/>
      <c r="K307" s="138"/>
      <c r="L307" s="138"/>
      <c r="M307" s="138"/>
      <c r="N307" s="136"/>
      <c r="O307" s="138"/>
    </row>
    <row r="308" spans="7:15" hidden="1" x14ac:dyDescent="0.25">
      <c r="G308" s="144"/>
      <c r="H308" s="136"/>
      <c r="I308" s="133"/>
      <c r="J308" s="138"/>
      <c r="K308" s="138"/>
      <c r="L308" s="138"/>
      <c r="M308" s="138"/>
      <c r="N308" s="138"/>
      <c r="O308" s="138"/>
    </row>
    <row r="309" spans="7:15" hidden="1" x14ac:dyDescent="0.25">
      <c r="G309" s="144"/>
      <c r="H309" s="136"/>
      <c r="I309" s="133"/>
      <c r="J309" s="138"/>
      <c r="K309" s="138"/>
      <c r="L309" s="136"/>
      <c r="M309" s="138"/>
      <c r="N309" s="138"/>
      <c r="O309" s="138"/>
    </row>
    <row r="310" spans="7:15" hidden="1" x14ac:dyDescent="0.25">
      <c r="G310" s="144"/>
      <c r="H310" s="136"/>
      <c r="I310" s="133"/>
      <c r="J310" s="138"/>
      <c r="K310" s="138"/>
      <c r="L310" s="138"/>
      <c r="M310" s="138"/>
      <c r="N310" s="138"/>
      <c r="O310" s="138"/>
    </row>
    <row r="311" spans="7:15" hidden="1" x14ac:dyDescent="0.25">
      <c r="G311" s="144"/>
      <c r="H311" s="136"/>
      <c r="I311" s="133"/>
      <c r="J311" s="138"/>
      <c r="K311" s="138"/>
      <c r="L311" s="138"/>
      <c r="M311" s="138"/>
      <c r="N311" s="138"/>
      <c r="O311" s="138"/>
    </row>
    <row r="312" spans="7:15" hidden="1" x14ac:dyDescent="0.25">
      <c r="G312" s="144"/>
      <c r="H312" s="136"/>
      <c r="I312" s="133"/>
      <c r="J312" s="138"/>
      <c r="K312" s="138"/>
      <c r="L312" s="138"/>
      <c r="M312" s="138"/>
      <c r="N312" s="136"/>
      <c r="O312" s="138"/>
    </row>
    <row r="313" spans="7:15" hidden="1" x14ac:dyDescent="0.25">
      <c r="G313" s="144"/>
      <c r="H313" s="136"/>
      <c r="I313" s="133"/>
      <c r="J313" s="138"/>
      <c r="K313" s="138"/>
      <c r="L313" s="136"/>
      <c r="M313" s="138"/>
      <c r="N313" s="138"/>
      <c r="O313" s="138"/>
    </row>
    <row r="314" spans="7:15" hidden="1" x14ac:dyDescent="0.25">
      <c r="G314" s="144"/>
      <c r="H314" s="136"/>
      <c r="I314" s="133"/>
      <c r="J314" s="138"/>
      <c r="K314" s="138"/>
      <c r="L314" s="138"/>
      <c r="M314" s="138"/>
      <c r="N314" s="138"/>
      <c r="O314" s="138"/>
    </row>
    <row r="315" spans="7:15" hidden="1" x14ac:dyDescent="0.25">
      <c r="G315" s="144"/>
      <c r="H315" s="136"/>
      <c r="I315" s="133"/>
      <c r="J315" s="138"/>
      <c r="K315" s="138"/>
      <c r="L315" s="136"/>
      <c r="M315" s="138"/>
      <c r="N315" s="138"/>
      <c r="O315" s="138"/>
    </row>
    <row r="316" spans="7:15" hidden="1" x14ac:dyDescent="0.25">
      <c r="G316" s="144"/>
      <c r="H316" s="136"/>
      <c r="I316" s="133"/>
      <c r="J316" s="138"/>
      <c r="K316" s="138"/>
      <c r="L316" s="138"/>
      <c r="M316" s="138"/>
      <c r="N316" s="136"/>
      <c r="O316" s="138"/>
    </row>
    <row r="317" spans="7:15" hidden="1" x14ac:dyDescent="0.25">
      <c r="G317" s="144"/>
      <c r="H317" s="136"/>
      <c r="I317" s="133"/>
      <c r="J317" s="138"/>
      <c r="K317" s="138"/>
      <c r="L317" s="138"/>
      <c r="M317" s="138"/>
      <c r="N317" s="138"/>
      <c r="O317" s="138"/>
    </row>
    <row r="318" spans="7:15" hidden="1" x14ac:dyDescent="0.25">
      <c r="G318" s="144"/>
      <c r="H318" s="136"/>
      <c r="I318" s="133"/>
      <c r="J318" s="138"/>
      <c r="K318" s="138"/>
      <c r="L318" s="138"/>
      <c r="M318" s="138"/>
      <c r="N318" s="138"/>
      <c r="O318" s="138"/>
    </row>
    <row r="319" spans="7:15" hidden="1" x14ac:dyDescent="0.25">
      <c r="G319" s="144"/>
      <c r="H319" s="136"/>
      <c r="I319" s="133"/>
      <c r="J319" s="138"/>
      <c r="K319" s="138"/>
      <c r="L319" s="136"/>
      <c r="M319" s="138"/>
      <c r="N319" s="138"/>
      <c r="O319" s="138"/>
    </row>
    <row r="320" spans="7:15" hidden="1" x14ac:dyDescent="0.25">
      <c r="G320" s="144"/>
      <c r="H320" s="136"/>
      <c r="I320" s="133"/>
      <c r="J320" s="138"/>
      <c r="K320" s="138"/>
      <c r="L320" s="138"/>
      <c r="M320" s="138"/>
      <c r="N320" s="138"/>
      <c r="O320" s="138"/>
    </row>
    <row r="321" spans="7:15" hidden="1" x14ac:dyDescent="0.25">
      <c r="G321" s="144"/>
      <c r="H321" s="136"/>
      <c r="I321" s="133"/>
      <c r="J321" s="138"/>
      <c r="K321" s="138"/>
      <c r="L321" s="138"/>
      <c r="M321" s="138"/>
      <c r="N321" s="138"/>
      <c r="O321" s="138"/>
    </row>
    <row r="322" spans="7:15" hidden="1" x14ac:dyDescent="0.25">
      <c r="G322" s="144"/>
      <c r="H322" s="136"/>
      <c r="I322" s="133"/>
      <c r="J322" s="138"/>
      <c r="K322" s="138"/>
      <c r="L322" s="138"/>
      <c r="M322" s="138"/>
      <c r="N322" s="138"/>
      <c r="O322" s="138"/>
    </row>
    <row r="323" spans="7:15" hidden="1" x14ac:dyDescent="0.25">
      <c r="G323" s="144"/>
      <c r="H323" s="136"/>
      <c r="I323" s="133"/>
      <c r="J323" s="138"/>
      <c r="K323" s="138"/>
      <c r="L323" s="138"/>
      <c r="M323" s="138"/>
      <c r="N323" s="138"/>
      <c r="O323" s="138"/>
    </row>
    <row r="324" spans="7:15" hidden="1" x14ac:dyDescent="0.25">
      <c r="G324" s="144"/>
      <c r="H324" s="136"/>
      <c r="I324" s="133"/>
      <c r="J324" s="138"/>
      <c r="K324" s="138"/>
      <c r="L324" s="138"/>
      <c r="M324" s="138"/>
      <c r="N324" s="138"/>
      <c r="O324" s="138"/>
    </row>
    <row r="325" spans="7:15" hidden="1" x14ac:dyDescent="0.25">
      <c r="G325" s="144"/>
      <c r="H325" s="136"/>
      <c r="I325" s="133"/>
      <c r="J325" s="138"/>
      <c r="K325" s="138"/>
      <c r="L325" s="138"/>
      <c r="M325" s="138"/>
      <c r="N325" s="136"/>
      <c r="O325" s="138"/>
    </row>
    <row r="326" spans="7:15" hidden="1" x14ac:dyDescent="0.25">
      <c r="G326" s="144"/>
      <c r="H326" s="136"/>
      <c r="I326" s="133"/>
      <c r="J326" s="138"/>
      <c r="K326" s="138"/>
      <c r="L326" s="138"/>
      <c r="M326" s="138"/>
      <c r="N326" s="138"/>
      <c r="O326" s="138"/>
    </row>
    <row r="327" spans="7:15" hidden="1" x14ac:dyDescent="0.25">
      <c r="G327" s="144"/>
      <c r="H327" s="136"/>
      <c r="I327" s="133"/>
      <c r="J327" s="138"/>
      <c r="K327" s="138"/>
      <c r="L327" s="136"/>
      <c r="M327" s="138"/>
      <c r="N327" s="138"/>
      <c r="O327" s="138"/>
    </row>
    <row r="328" spans="7:15" hidden="1" x14ac:dyDescent="0.25">
      <c r="G328" s="144"/>
      <c r="H328" s="136"/>
      <c r="I328" s="133"/>
      <c r="J328" s="138"/>
      <c r="K328" s="138"/>
      <c r="L328" s="138"/>
      <c r="M328" s="138"/>
      <c r="N328" s="138"/>
      <c r="O328" s="138"/>
    </row>
    <row r="329" spans="7:15" hidden="1" x14ac:dyDescent="0.25">
      <c r="G329" s="144"/>
      <c r="H329" s="136"/>
      <c r="I329" s="133"/>
      <c r="J329" s="138"/>
      <c r="K329" s="138"/>
      <c r="L329" s="136"/>
      <c r="M329" s="138"/>
      <c r="N329" s="138"/>
      <c r="O329" s="138"/>
    </row>
    <row r="330" spans="7:15" hidden="1" x14ac:dyDescent="0.25">
      <c r="G330" s="144"/>
      <c r="H330" s="136"/>
      <c r="I330" s="133"/>
      <c r="J330" s="138"/>
      <c r="K330" s="138"/>
      <c r="L330" s="138"/>
      <c r="M330" s="138"/>
      <c r="N330" s="136"/>
      <c r="O330" s="138"/>
    </row>
    <row r="331" spans="7:15" hidden="1" x14ac:dyDescent="0.25">
      <c r="G331" s="144"/>
      <c r="H331" s="136"/>
      <c r="I331" s="133"/>
      <c r="J331" s="138"/>
      <c r="K331" s="138"/>
      <c r="L331" s="138"/>
      <c r="M331" s="138"/>
      <c r="N331" s="138"/>
      <c r="O331" s="138"/>
    </row>
    <row r="332" spans="7:15" hidden="1" x14ac:dyDescent="0.25">
      <c r="G332" s="144"/>
      <c r="H332" s="136"/>
      <c r="I332" s="133"/>
      <c r="J332" s="138"/>
      <c r="K332" s="138"/>
      <c r="L332" s="138"/>
      <c r="M332" s="138"/>
      <c r="N332" s="138"/>
      <c r="O332" s="138"/>
    </row>
    <row r="333" spans="7:15" hidden="1" x14ac:dyDescent="0.25">
      <c r="G333" s="144"/>
      <c r="H333" s="136"/>
      <c r="I333" s="133"/>
      <c r="J333" s="138"/>
      <c r="K333" s="138"/>
      <c r="L333" s="138"/>
      <c r="M333" s="138"/>
      <c r="N333" s="136"/>
      <c r="O333" s="138"/>
    </row>
    <row r="334" spans="7:15" hidden="1" x14ac:dyDescent="0.25">
      <c r="G334" s="144"/>
      <c r="H334" s="136"/>
      <c r="I334" s="133"/>
      <c r="J334" s="138"/>
      <c r="K334" s="138"/>
      <c r="L334" s="138"/>
      <c r="M334" s="138"/>
      <c r="N334" s="138"/>
      <c r="O334" s="138"/>
    </row>
    <row r="335" spans="7:15" hidden="1" x14ac:dyDescent="0.25">
      <c r="G335" s="144"/>
      <c r="H335" s="136"/>
      <c r="I335" s="133"/>
      <c r="J335" s="138"/>
      <c r="K335" s="138"/>
      <c r="L335" s="138"/>
      <c r="M335" s="138"/>
      <c r="N335" s="138"/>
      <c r="O335" s="138"/>
    </row>
    <row r="336" spans="7:15" hidden="1" x14ac:dyDescent="0.25">
      <c r="G336" s="144"/>
      <c r="H336" s="136"/>
      <c r="I336" s="133"/>
      <c r="J336" s="138"/>
      <c r="K336" s="138"/>
      <c r="L336" s="136"/>
      <c r="M336" s="138"/>
      <c r="N336" s="138"/>
      <c r="O336" s="138"/>
    </row>
    <row r="337" spans="7:15" hidden="1" x14ac:dyDescent="0.25">
      <c r="G337" s="144"/>
      <c r="H337" s="136"/>
      <c r="I337" s="133"/>
      <c r="J337" s="138"/>
      <c r="K337" s="138"/>
      <c r="L337" s="138"/>
      <c r="M337" s="138"/>
      <c r="N337" s="138"/>
      <c r="O337" s="138"/>
    </row>
    <row r="338" spans="7:15" hidden="1" x14ac:dyDescent="0.25">
      <c r="G338" s="144"/>
      <c r="H338" s="136"/>
      <c r="I338" s="133"/>
      <c r="J338" s="138"/>
      <c r="K338" s="138"/>
      <c r="L338" s="136"/>
      <c r="M338" s="138"/>
      <c r="N338" s="138"/>
      <c r="O338" s="138"/>
    </row>
    <row r="339" spans="7:15" hidden="1" x14ac:dyDescent="0.25">
      <c r="G339" s="144"/>
      <c r="H339" s="136"/>
      <c r="I339" s="133"/>
      <c r="J339" s="138"/>
      <c r="K339" s="138"/>
      <c r="L339" s="138"/>
      <c r="M339" s="138"/>
      <c r="N339" s="136"/>
      <c r="O339" s="138"/>
    </row>
    <row r="340" spans="7:15" hidden="1" x14ac:dyDescent="0.25">
      <c r="G340" s="144"/>
      <c r="H340" s="136"/>
      <c r="I340" s="133"/>
      <c r="J340" s="138"/>
      <c r="K340" s="138"/>
      <c r="L340" s="138"/>
      <c r="M340" s="138"/>
      <c r="N340" s="138"/>
      <c r="O340" s="138"/>
    </row>
    <row r="341" spans="7:15" hidden="1" x14ac:dyDescent="0.25">
      <c r="G341" s="144"/>
      <c r="H341" s="136"/>
      <c r="I341" s="133"/>
      <c r="J341" s="138"/>
      <c r="K341" s="138"/>
      <c r="L341" s="138"/>
      <c r="M341" s="138"/>
      <c r="N341" s="138"/>
      <c r="O341" s="138"/>
    </row>
    <row r="342" spans="7:15" hidden="1" x14ac:dyDescent="0.25">
      <c r="G342" s="144"/>
      <c r="H342" s="136"/>
      <c r="I342" s="133"/>
      <c r="J342" s="138"/>
      <c r="K342" s="138"/>
      <c r="L342" s="138"/>
      <c r="M342" s="138"/>
      <c r="N342" s="136"/>
      <c r="O342" s="138"/>
    </row>
    <row r="343" spans="7:15" hidden="1" x14ac:dyDescent="0.25">
      <c r="G343" s="144"/>
      <c r="H343" s="136"/>
      <c r="I343" s="133"/>
      <c r="J343" s="138"/>
      <c r="K343" s="138"/>
      <c r="L343" s="138"/>
      <c r="M343" s="138"/>
      <c r="N343" s="138"/>
      <c r="O343" s="138"/>
    </row>
    <row r="344" spans="7:15" hidden="1" x14ac:dyDescent="0.25">
      <c r="G344" s="144"/>
      <c r="H344" s="136"/>
      <c r="I344" s="133"/>
      <c r="J344" s="138"/>
      <c r="K344" s="138"/>
      <c r="L344" s="138"/>
      <c r="M344" s="138"/>
      <c r="N344" s="136"/>
      <c r="O344" s="138"/>
    </row>
    <row r="345" spans="7:15" hidden="1" x14ac:dyDescent="0.25">
      <c r="G345" s="144"/>
      <c r="H345" s="136"/>
      <c r="I345" s="133"/>
      <c r="J345" s="138"/>
      <c r="K345" s="138"/>
      <c r="L345" s="136"/>
      <c r="M345" s="138"/>
      <c r="N345" s="138"/>
      <c r="O345" s="138"/>
    </row>
    <row r="346" spans="7:15" hidden="1" x14ac:dyDescent="0.25">
      <c r="G346" s="144"/>
      <c r="H346" s="136"/>
      <c r="I346" s="133"/>
      <c r="J346" s="138"/>
      <c r="K346" s="138"/>
      <c r="L346" s="138"/>
      <c r="M346" s="138"/>
      <c r="N346" s="138"/>
      <c r="O346" s="138"/>
    </row>
    <row r="347" spans="7:15" hidden="1" x14ac:dyDescent="0.25">
      <c r="G347" s="144"/>
      <c r="H347" s="136"/>
      <c r="I347" s="133"/>
      <c r="J347" s="138"/>
      <c r="K347" s="138"/>
      <c r="L347" s="138"/>
      <c r="M347" s="138"/>
      <c r="N347" s="138"/>
      <c r="O347" s="138"/>
    </row>
    <row r="348" spans="7:15" hidden="1" x14ac:dyDescent="0.25">
      <c r="G348" s="144"/>
      <c r="H348" s="136"/>
      <c r="I348" s="133"/>
      <c r="J348" s="138"/>
      <c r="K348" s="138"/>
      <c r="L348" s="138"/>
      <c r="M348" s="138"/>
      <c r="N348" s="136"/>
      <c r="O348" s="138"/>
    </row>
    <row r="349" spans="7:15" hidden="1" x14ac:dyDescent="0.25">
      <c r="G349" s="144"/>
      <c r="H349" s="136"/>
      <c r="I349" s="133"/>
      <c r="J349" s="138"/>
      <c r="K349" s="138"/>
      <c r="L349" s="136"/>
      <c r="M349" s="138"/>
      <c r="N349" s="138"/>
      <c r="O349" s="138"/>
    </row>
    <row r="350" spans="7:15" hidden="1" x14ac:dyDescent="0.25">
      <c r="G350" s="144"/>
      <c r="H350" s="136"/>
      <c r="I350" s="133"/>
      <c r="J350" s="138"/>
      <c r="K350" s="138"/>
      <c r="L350" s="138"/>
      <c r="M350" s="138"/>
      <c r="N350" s="138"/>
      <c r="O350" s="138"/>
    </row>
    <row r="351" spans="7:15" hidden="1" x14ac:dyDescent="0.25">
      <c r="G351" s="144"/>
      <c r="H351" s="136"/>
      <c r="I351" s="133"/>
      <c r="J351" s="138"/>
      <c r="K351" s="138"/>
      <c r="L351" s="138"/>
      <c r="M351" s="138"/>
      <c r="N351" s="138"/>
      <c r="O351" s="138"/>
    </row>
    <row r="352" spans="7:15" hidden="1" x14ac:dyDescent="0.25">
      <c r="G352" s="144"/>
      <c r="H352" s="136"/>
      <c r="I352" s="133"/>
      <c r="J352" s="138"/>
      <c r="K352" s="138"/>
      <c r="L352" s="136"/>
      <c r="M352" s="138"/>
      <c r="N352" s="138"/>
      <c r="O352" s="138"/>
    </row>
    <row r="353" spans="7:15" hidden="1" x14ac:dyDescent="0.25">
      <c r="G353" s="144"/>
      <c r="H353" s="136"/>
      <c r="I353" s="133"/>
      <c r="J353" s="138"/>
      <c r="K353" s="138"/>
      <c r="L353" s="138"/>
      <c r="M353" s="138"/>
      <c r="N353" s="138"/>
      <c r="O353" s="138"/>
    </row>
    <row r="354" spans="7:15" hidden="1" x14ac:dyDescent="0.25">
      <c r="G354" s="144"/>
      <c r="H354" s="136"/>
      <c r="I354" s="133"/>
      <c r="J354" s="138"/>
      <c r="K354" s="138"/>
      <c r="L354" s="138"/>
      <c r="M354" s="138"/>
      <c r="N354" s="138"/>
      <c r="O354" s="138"/>
    </row>
    <row r="355" spans="7:15" hidden="1" x14ac:dyDescent="0.25">
      <c r="G355" s="144"/>
      <c r="H355" s="136"/>
      <c r="I355" s="133"/>
      <c r="J355" s="138"/>
      <c r="K355" s="138"/>
      <c r="L355" s="138"/>
      <c r="M355" s="138"/>
      <c r="N355" s="136"/>
      <c r="O355" s="138"/>
    </row>
    <row r="356" spans="7:15" hidden="1" x14ac:dyDescent="0.25">
      <c r="G356" s="144"/>
      <c r="H356" s="136"/>
      <c r="I356" s="133"/>
      <c r="J356" s="138"/>
      <c r="K356" s="138"/>
      <c r="L356" s="138"/>
      <c r="M356" s="138"/>
      <c r="N356" s="138"/>
      <c r="O356" s="138"/>
    </row>
    <row r="357" spans="7:15" hidden="1" x14ac:dyDescent="0.25">
      <c r="G357" s="144"/>
      <c r="H357" s="136"/>
      <c r="I357" s="133"/>
      <c r="J357" s="138"/>
      <c r="K357" s="138"/>
      <c r="L357" s="138"/>
      <c r="M357" s="138"/>
      <c r="N357" s="138"/>
      <c r="O357" s="138"/>
    </row>
    <row r="358" spans="7:15" hidden="1" x14ac:dyDescent="0.25">
      <c r="G358" s="144"/>
      <c r="H358" s="136"/>
      <c r="I358" s="133"/>
      <c r="J358" s="138"/>
      <c r="K358" s="138"/>
      <c r="L358" s="138"/>
      <c r="M358" s="138"/>
      <c r="N358" s="138"/>
      <c r="O358" s="138"/>
    </row>
    <row r="359" spans="7:15" hidden="1" x14ac:dyDescent="0.25">
      <c r="G359" s="144"/>
      <c r="H359" s="136"/>
      <c r="I359" s="133"/>
      <c r="J359" s="138"/>
      <c r="K359" s="138"/>
      <c r="L359" s="136"/>
      <c r="M359" s="138"/>
      <c r="N359" s="138"/>
      <c r="O359" s="138"/>
    </row>
    <row r="360" spans="7:15" hidden="1" x14ac:dyDescent="0.25">
      <c r="G360" s="144"/>
      <c r="H360" s="136"/>
      <c r="I360" s="133"/>
      <c r="J360" s="138"/>
      <c r="K360" s="138"/>
      <c r="L360" s="138"/>
      <c r="M360" s="138"/>
      <c r="N360" s="138"/>
      <c r="O360" s="138"/>
    </row>
    <row r="361" spans="7:15" hidden="1" x14ac:dyDescent="0.25">
      <c r="G361" s="144"/>
      <c r="H361" s="136"/>
      <c r="I361" s="133"/>
      <c r="J361" s="138"/>
      <c r="K361" s="138"/>
      <c r="L361" s="138"/>
      <c r="M361" s="138"/>
      <c r="N361" s="138"/>
      <c r="O361" s="138"/>
    </row>
    <row r="362" spans="7:15" hidden="1" x14ac:dyDescent="0.25">
      <c r="G362" s="144"/>
      <c r="H362" s="136"/>
      <c r="I362" s="133"/>
      <c r="J362" s="138"/>
      <c r="K362" s="138"/>
      <c r="L362" s="138"/>
      <c r="M362" s="138"/>
      <c r="N362" s="138"/>
      <c r="O362" s="138"/>
    </row>
    <row r="363" spans="7:15" hidden="1" x14ac:dyDescent="0.25">
      <c r="G363" s="144"/>
      <c r="H363" s="136"/>
      <c r="I363" s="133"/>
      <c r="J363" s="138"/>
      <c r="K363" s="138"/>
      <c r="L363" s="138"/>
      <c r="M363" s="138"/>
      <c r="N363" s="138"/>
      <c r="O363" s="138"/>
    </row>
    <row r="364" spans="7:15" hidden="1" x14ac:dyDescent="0.25">
      <c r="G364" s="144"/>
      <c r="H364" s="136"/>
      <c r="I364" s="133"/>
      <c r="J364" s="138"/>
      <c r="K364" s="138"/>
      <c r="L364" s="136"/>
      <c r="M364" s="138"/>
      <c r="N364" s="138"/>
      <c r="O364" s="138"/>
    </row>
    <row r="365" spans="7:15" hidden="1" x14ac:dyDescent="0.25">
      <c r="G365" s="144"/>
      <c r="H365" s="136"/>
      <c r="I365" s="133"/>
      <c r="J365" s="138"/>
      <c r="K365" s="138"/>
      <c r="L365" s="138"/>
      <c r="M365" s="138"/>
      <c r="N365" s="138"/>
      <c r="O365" s="138"/>
    </row>
    <row r="366" spans="7:15" hidden="1" x14ac:dyDescent="0.25">
      <c r="G366" s="144"/>
      <c r="H366" s="136"/>
      <c r="I366" s="133"/>
      <c r="J366" s="138"/>
      <c r="K366" s="138"/>
      <c r="L366" s="138"/>
      <c r="M366" s="138"/>
      <c r="N366" s="136"/>
      <c r="O366" s="138"/>
    </row>
    <row r="367" spans="7:15" hidden="1" x14ac:dyDescent="0.25">
      <c r="G367" s="144"/>
      <c r="H367" s="136"/>
      <c r="I367" s="133"/>
      <c r="J367" s="138"/>
      <c r="K367" s="138"/>
      <c r="L367" s="138"/>
      <c r="M367" s="138"/>
      <c r="N367" s="138"/>
      <c r="O367" s="138"/>
    </row>
    <row r="368" spans="7:15" hidden="1" x14ac:dyDescent="0.25">
      <c r="G368" s="144"/>
      <c r="H368" s="136"/>
      <c r="I368" s="133"/>
      <c r="J368" s="138"/>
      <c r="K368" s="138"/>
      <c r="L368" s="136"/>
      <c r="M368" s="138"/>
      <c r="N368" s="138"/>
      <c r="O368" s="138"/>
    </row>
    <row r="369" spans="7:15" hidden="1" x14ac:dyDescent="0.25">
      <c r="G369" s="144"/>
      <c r="H369" s="136"/>
      <c r="I369" s="133"/>
      <c r="J369" s="138"/>
      <c r="K369" s="138"/>
      <c r="L369" s="138"/>
      <c r="M369" s="138"/>
      <c r="N369" s="136"/>
      <c r="O369" s="138"/>
    </row>
    <row r="370" spans="7:15" hidden="1" x14ac:dyDescent="0.25">
      <c r="G370" s="144"/>
      <c r="H370" s="136"/>
      <c r="I370" s="133"/>
      <c r="J370" s="138"/>
      <c r="K370" s="138"/>
      <c r="L370" s="136"/>
      <c r="M370" s="138"/>
      <c r="N370" s="138"/>
      <c r="O370" s="138"/>
    </row>
    <row r="371" spans="7:15" hidden="1" x14ac:dyDescent="0.25">
      <c r="G371" s="144"/>
      <c r="H371" s="136"/>
      <c r="I371" s="133"/>
      <c r="J371" s="138"/>
      <c r="K371" s="138"/>
      <c r="L371" s="138"/>
      <c r="M371" s="138"/>
      <c r="N371" s="138"/>
      <c r="O371" s="138"/>
    </row>
    <row r="372" spans="7:15" hidden="1" x14ac:dyDescent="0.25">
      <c r="G372" s="144"/>
      <c r="H372" s="136"/>
      <c r="I372" s="133"/>
      <c r="J372" s="138"/>
      <c r="K372" s="138"/>
      <c r="L372" s="138"/>
      <c r="M372" s="138"/>
      <c r="N372" s="138"/>
      <c r="O372" s="138"/>
    </row>
    <row r="373" spans="7:15" hidden="1" x14ac:dyDescent="0.25">
      <c r="G373" s="144"/>
      <c r="H373" s="136"/>
      <c r="I373" s="133"/>
      <c r="J373" s="138"/>
      <c r="K373" s="138"/>
      <c r="L373" s="138"/>
      <c r="M373" s="138"/>
      <c r="N373" s="138"/>
      <c r="O373" s="138"/>
    </row>
    <row r="374" spans="7:15" hidden="1" x14ac:dyDescent="0.25">
      <c r="G374" s="144"/>
      <c r="H374" s="136"/>
      <c r="I374" s="133"/>
      <c r="J374" s="138"/>
      <c r="K374" s="138"/>
      <c r="L374" s="138"/>
      <c r="M374" s="138"/>
      <c r="N374" s="138"/>
      <c r="O374" s="138"/>
    </row>
    <row r="375" spans="7:15" hidden="1" x14ac:dyDescent="0.25">
      <c r="G375" s="144"/>
      <c r="H375" s="136"/>
      <c r="I375" s="133"/>
      <c r="J375" s="138"/>
      <c r="K375" s="138"/>
      <c r="L375" s="138"/>
      <c r="M375" s="138"/>
      <c r="N375" s="136"/>
      <c r="O375" s="138"/>
    </row>
    <row r="376" spans="7:15" hidden="1" x14ac:dyDescent="0.25">
      <c r="G376" s="144"/>
      <c r="H376" s="136"/>
      <c r="I376" s="133"/>
      <c r="J376" s="138"/>
      <c r="K376" s="138"/>
      <c r="L376" s="136"/>
      <c r="M376" s="138"/>
      <c r="N376" s="138"/>
      <c r="O376" s="138"/>
    </row>
    <row r="377" spans="7:15" hidden="1" x14ac:dyDescent="0.25">
      <c r="G377" s="144"/>
      <c r="H377" s="136"/>
      <c r="I377" s="133"/>
      <c r="J377" s="138"/>
      <c r="K377" s="138"/>
      <c r="L377" s="138"/>
      <c r="M377" s="138"/>
      <c r="N377" s="138"/>
      <c r="O377" s="138"/>
    </row>
    <row r="378" spans="7:15" hidden="1" x14ac:dyDescent="0.25">
      <c r="G378" s="144"/>
      <c r="H378" s="136"/>
      <c r="I378" s="133"/>
      <c r="J378" s="138"/>
      <c r="K378" s="138"/>
      <c r="L378" s="138"/>
      <c r="M378" s="138"/>
      <c r="N378" s="138"/>
      <c r="O378" s="138"/>
    </row>
    <row r="379" spans="7:15" hidden="1" x14ac:dyDescent="0.25">
      <c r="G379" s="144"/>
      <c r="H379" s="136"/>
      <c r="I379" s="133"/>
      <c r="J379" s="138"/>
      <c r="K379" s="138"/>
      <c r="L379" s="138"/>
      <c r="M379" s="138"/>
      <c r="N379" s="138"/>
      <c r="O379" s="138"/>
    </row>
    <row r="380" spans="7:15" hidden="1" x14ac:dyDescent="0.25">
      <c r="G380" s="144"/>
      <c r="H380" s="136"/>
      <c r="I380" s="133"/>
      <c r="J380" s="138"/>
      <c r="K380" s="138"/>
      <c r="L380" s="136"/>
      <c r="M380" s="138"/>
      <c r="N380" s="138"/>
      <c r="O380" s="138"/>
    </row>
    <row r="381" spans="7:15" hidden="1" x14ac:dyDescent="0.25">
      <c r="G381" s="144"/>
      <c r="H381" s="136"/>
      <c r="I381" s="133"/>
      <c r="J381" s="138"/>
      <c r="K381" s="138"/>
      <c r="L381" s="138"/>
      <c r="M381" s="138"/>
      <c r="N381" s="138"/>
      <c r="O381" s="138"/>
    </row>
    <row r="382" spans="7:15" hidden="1" x14ac:dyDescent="0.25">
      <c r="G382" s="144"/>
      <c r="H382" s="136"/>
      <c r="I382" s="133"/>
      <c r="J382" s="138"/>
      <c r="K382" s="138"/>
      <c r="L382" s="138"/>
      <c r="M382" s="138"/>
      <c r="N382" s="138"/>
      <c r="O382" s="138"/>
    </row>
    <row r="383" spans="7:15" hidden="1" x14ac:dyDescent="0.25">
      <c r="G383" s="144"/>
      <c r="H383" s="136"/>
      <c r="I383" s="133"/>
      <c r="J383" s="138"/>
      <c r="K383" s="138"/>
      <c r="L383" s="138"/>
      <c r="M383" s="138"/>
      <c r="N383" s="138"/>
      <c r="O383" s="138"/>
    </row>
    <row r="384" spans="7:15" hidden="1" x14ac:dyDescent="0.25">
      <c r="G384" s="144"/>
      <c r="H384" s="136"/>
      <c r="I384" s="133"/>
      <c r="J384" s="138"/>
      <c r="K384" s="138"/>
      <c r="L384" s="136"/>
      <c r="M384" s="138"/>
      <c r="N384" s="138"/>
      <c r="O384" s="138"/>
    </row>
    <row r="385" spans="7:15" hidden="1" x14ac:dyDescent="0.25">
      <c r="G385" s="144"/>
      <c r="H385" s="136"/>
      <c r="I385" s="133"/>
      <c r="J385" s="138"/>
      <c r="K385" s="138"/>
      <c r="L385" s="138"/>
      <c r="M385" s="138"/>
      <c r="N385" s="136"/>
      <c r="O385" s="138"/>
    </row>
    <row r="386" spans="7:15" hidden="1" x14ac:dyDescent="0.25">
      <c r="G386" s="144"/>
      <c r="H386" s="136"/>
      <c r="I386" s="133"/>
      <c r="J386" s="138"/>
      <c r="K386" s="138"/>
      <c r="L386" s="136"/>
      <c r="M386" s="138"/>
      <c r="N386" s="138"/>
      <c r="O386" s="138"/>
    </row>
    <row r="387" spans="7:15" hidden="1" x14ac:dyDescent="0.25">
      <c r="G387" s="144"/>
      <c r="H387" s="136"/>
      <c r="I387" s="133"/>
      <c r="J387" s="138"/>
      <c r="K387" s="138"/>
      <c r="L387" s="138"/>
      <c r="M387" s="138"/>
      <c r="N387" s="136"/>
      <c r="O387" s="138"/>
    </row>
    <row r="388" spans="7:15" hidden="1" x14ac:dyDescent="0.25">
      <c r="G388" s="144"/>
      <c r="H388" s="136"/>
      <c r="I388" s="133"/>
      <c r="J388" s="138"/>
      <c r="K388" s="138"/>
      <c r="L388" s="138"/>
      <c r="M388" s="138"/>
      <c r="N388" s="138"/>
      <c r="O388" s="138"/>
    </row>
    <row r="389" spans="7:15" hidden="1" x14ac:dyDescent="0.25">
      <c r="G389" s="144"/>
      <c r="H389" s="136"/>
      <c r="I389" s="133"/>
      <c r="J389" s="138"/>
      <c r="K389" s="138"/>
      <c r="L389" s="138"/>
      <c r="M389" s="138"/>
      <c r="N389" s="138"/>
      <c r="O389" s="138"/>
    </row>
    <row r="390" spans="7:15" hidden="1" x14ac:dyDescent="0.25">
      <c r="G390" s="144"/>
      <c r="H390" s="136"/>
      <c r="I390" s="133"/>
      <c r="J390" s="138"/>
      <c r="K390" s="138"/>
      <c r="L390" s="138"/>
      <c r="M390" s="138"/>
      <c r="N390" s="138"/>
      <c r="O390" s="138"/>
    </row>
    <row r="391" spans="7:15" hidden="1" x14ac:dyDescent="0.25">
      <c r="G391" s="144"/>
      <c r="H391" s="136"/>
      <c r="I391" s="133"/>
      <c r="J391" s="138"/>
      <c r="K391" s="138"/>
      <c r="L391" s="138"/>
      <c r="M391" s="138"/>
      <c r="N391" s="138"/>
      <c r="O391" s="138"/>
    </row>
    <row r="392" spans="7:15" hidden="1" x14ac:dyDescent="0.25">
      <c r="G392" s="144"/>
      <c r="H392" s="136"/>
      <c r="I392" s="133"/>
      <c r="J392" s="138"/>
      <c r="K392" s="138"/>
      <c r="L392" s="138"/>
      <c r="M392" s="138"/>
      <c r="N392" s="138"/>
      <c r="O392" s="138"/>
    </row>
    <row r="393" spans="7:15" hidden="1" x14ac:dyDescent="0.25">
      <c r="G393" s="144"/>
      <c r="H393" s="136"/>
      <c r="I393" s="133"/>
      <c r="J393" s="138"/>
      <c r="K393" s="138"/>
      <c r="L393" s="136"/>
      <c r="M393" s="138"/>
      <c r="N393" s="138"/>
      <c r="O393" s="138"/>
    </row>
    <row r="394" spans="7:15" hidden="1" x14ac:dyDescent="0.25">
      <c r="G394" s="144"/>
      <c r="H394" s="136"/>
      <c r="I394" s="133"/>
      <c r="J394" s="138"/>
      <c r="K394" s="138"/>
      <c r="L394" s="138"/>
      <c r="M394" s="138"/>
      <c r="N394" s="136"/>
      <c r="O394" s="138"/>
    </row>
    <row r="395" spans="7:15" hidden="1" x14ac:dyDescent="0.25">
      <c r="G395" s="144"/>
      <c r="H395" s="136"/>
      <c r="I395" s="133"/>
      <c r="J395" s="138"/>
      <c r="K395" s="138"/>
      <c r="L395" s="138"/>
      <c r="M395" s="138"/>
      <c r="N395" s="138"/>
      <c r="O395" s="138"/>
    </row>
    <row r="396" spans="7:15" hidden="1" x14ac:dyDescent="0.25">
      <c r="G396" s="144"/>
      <c r="H396" s="136"/>
      <c r="I396" s="133"/>
      <c r="J396" s="138"/>
      <c r="K396" s="138"/>
      <c r="L396" s="138"/>
      <c r="M396" s="138"/>
      <c r="N396" s="136"/>
      <c r="O396" s="138"/>
    </row>
    <row r="397" spans="7:15" hidden="1" x14ac:dyDescent="0.25">
      <c r="G397" s="144"/>
      <c r="H397" s="136"/>
      <c r="I397" s="133"/>
      <c r="J397" s="138"/>
      <c r="K397" s="138"/>
      <c r="L397" s="136"/>
      <c r="M397" s="138"/>
      <c r="N397" s="138"/>
      <c r="O397" s="138"/>
    </row>
    <row r="398" spans="7:15" hidden="1" x14ac:dyDescent="0.25">
      <c r="G398" s="144"/>
      <c r="H398" s="136"/>
      <c r="I398" s="133"/>
      <c r="J398" s="138"/>
      <c r="K398" s="138"/>
      <c r="L398" s="138"/>
      <c r="M398" s="138"/>
      <c r="N398" s="138"/>
      <c r="O398" s="138"/>
    </row>
    <row r="399" spans="7:15" hidden="1" x14ac:dyDescent="0.25">
      <c r="G399" s="144"/>
      <c r="H399" s="136"/>
      <c r="I399" s="133"/>
      <c r="J399" s="138"/>
      <c r="K399" s="138"/>
      <c r="L399" s="136"/>
      <c r="M399" s="138"/>
      <c r="N399" s="138"/>
      <c r="O399" s="138"/>
    </row>
    <row r="400" spans="7:15" hidden="1" x14ac:dyDescent="0.25">
      <c r="G400" s="144"/>
      <c r="H400" s="136"/>
      <c r="I400" s="133"/>
      <c r="J400" s="138"/>
      <c r="K400" s="138"/>
      <c r="L400" s="138"/>
      <c r="M400" s="138"/>
      <c r="N400" s="136"/>
      <c r="O400" s="138"/>
    </row>
    <row r="401" spans="7:15" hidden="1" x14ac:dyDescent="0.25">
      <c r="G401" s="144"/>
      <c r="H401" s="136"/>
      <c r="I401" s="133"/>
      <c r="J401" s="138"/>
      <c r="K401" s="138"/>
      <c r="L401" s="138"/>
      <c r="M401" s="138"/>
      <c r="N401" s="138"/>
      <c r="O401" s="138"/>
    </row>
    <row r="402" spans="7:15" hidden="1" x14ac:dyDescent="0.25">
      <c r="G402" s="144"/>
      <c r="H402" s="136"/>
      <c r="I402" s="133"/>
      <c r="J402" s="138"/>
      <c r="K402" s="138"/>
      <c r="L402" s="136"/>
      <c r="M402" s="138"/>
      <c r="N402" s="138"/>
      <c r="O402" s="138"/>
    </row>
    <row r="403" spans="7:15" hidden="1" x14ac:dyDescent="0.25">
      <c r="G403" s="144"/>
      <c r="H403" s="136"/>
      <c r="I403" s="133"/>
      <c r="J403" s="138"/>
      <c r="K403" s="138"/>
      <c r="L403" s="138"/>
      <c r="M403" s="138"/>
      <c r="N403" s="138"/>
      <c r="O403" s="138"/>
    </row>
    <row r="404" spans="7:15" hidden="1" x14ac:dyDescent="0.25">
      <c r="G404" s="144"/>
      <c r="H404" s="136"/>
      <c r="I404" s="133"/>
      <c r="J404" s="138"/>
      <c r="K404" s="138"/>
      <c r="L404" s="138"/>
      <c r="M404" s="138"/>
      <c r="N404" s="136"/>
      <c r="O404" s="138"/>
    </row>
    <row r="405" spans="7:15" hidden="1" x14ac:dyDescent="0.25">
      <c r="G405" s="144"/>
      <c r="H405" s="136"/>
      <c r="I405" s="133"/>
      <c r="J405" s="138"/>
      <c r="K405" s="138"/>
      <c r="L405" s="138"/>
      <c r="M405" s="138"/>
      <c r="N405" s="138"/>
      <c r="O405" s="138"/>
    </row>
    <row r="406" spans="7:15" hidden="1" x14ac:dyDescent="0.25">
      <c r="G406" s="144"/>
      <c r="H406" s="136"/>
      <c r="I406" s="133"/>
      <c r="J406" s="138"/>
      <c r="K406" s="138"/>
      <c r="L406" s="138"/>
      <c r="M406" s="138"/>
      <c r="N406" s="136"/>
      <c r="O406" s="138"/>
    </row>
    <row r="407" spans="7:15" hidden="1" x14ac:dyDescent="0.25">
      <c r="G407" s="144"/>
      <c r="H407" s="136"/>
      <c r="I407" s="133"/>
      <c r="J407" s="138"/>
      <c r="K407" s="138"/>
      <c r="L407" s="136"/>
      <c r="M407" s="138"/>
      <c r="N407" s="138"/>
      <c r="O407" s="138"/>
    </row>
    <row r="408" spans="7:15" hidden="1" x14ac:dyDescent="0.25">
      <c r="G408" s="144"/>
      <c r="H408" s="136"/>
      <c r="I408" s="133"/>
      <c r="J408" s="138"/>
      <c r="K408" s="138"/>
      <c r="L408" s="138"/>
      <c r="M408" s="138"/>
      <c r="N408" s="136"/>
      <c r="O408" s="138"/>
    </row>
    <row r="409" spans="7:15" hidden="1" x14ac:dyDescent="0.25">
      <c r="G409" s="144"/>
      <c r="H409" s="136"/>
      <c r="I409" s="133"/>
      <c r="J409" s="138"/>
      <c r="K409" s="138"/>
      <c r="L409" s="138"/>
      <c r="M409" s="138"/>
      <c r="N409" s="138"/>
      <c r="O409" s="138"/>
    </row>
    <row r="410" spans="7:15" hidden="1" x14ac:dyDescent="0.25">
      <c r="G410" s="144"/>
      <c r="H410" s="136"/>
      <c r="I410" s="133"/>
      <c r="J410" s="138"/>
      <c r="K410" s="138"/>
      <c r="L410" s="138"/>
      <c r="M410" s="138"/>
      <c r="N410" s="136"/>
      <c r="O410" s="138"/>
    </row>
    <row r="411" spans="7:15" hidden="1" x14ac:dyDescent="0.25">
      <c r="G411" s="144"/>
      <c r="H411" s="136"/>
      <c r="I411" s="133"/>
      <c r="J411" s="138"/>
      <c r="K411" s="138"/>
      <c r="L411" s="138"/>
      <c r="M411" s="138"/>
      <c r="N411" s="138"/>
      <c r="O411" s="138"/>
    </row>
    <row r="412" spans="7:15" hidden="1" x14ac:dyDescent="0.25">
      <c r="G412" s="144"/>
      <c r="H412" s="136"/>
      <c r="I412" s="133"/>
      <c r="J412" s="138"/>
      <c r="K412" s="138"/>
      <c r="L412" s="138"/>
      <c r="M412" s="138"/>
      <c r="N412" s="138"/>
      <c r="O412" s="138"/>
    </row>
    <row r="413" spans="7:15" hidden="1" x14ac:dyDescent="0.25">
      <c r="G413" s="144"/>
      <c r="H413" s="136"/>
      <c r="I413" s="133"/>
      <c r="J413" s="138"/>
      <c r="K413" s="138"/>
      <c r="L413" s="138"/>
      <c r="M413" s="138"/>
      <c r="N413" s="136"/>
      <c r="O413" s="138"/>
    </row>
    <row r="414" spans="7:15" hidden="1" x14ac:dyDescent="0.25">
      <c r="G414" s="144"/>
      <c r="H414" s="136"/>
      <c r="I414" s="133"/>
      <c r="J414" s="138"/>
      <c r="K414" s="138"/>
      <c r="L414" s="138"/>
      <c r="M414" s="138"/>
      <c r="N414" s="138"/>
      <c r="O414" s="138"/>
    </row>
    <row r="415" spans="7:15" hidden="1" x14ac:dyDescent="0.25">
      <c r="G415" s="144"/>
      <c r="H415" s="136"/>
      <c r="I415" s="133"/>
      <c r="J415" s="138"/>
      <c r="K415" s="138"/>
      <c r="L415" s="138"/>
      <c r="M415" s="138"/>
      <c r="N415" s="136"/>
      <c r="O415" s="138"/>
    </row>
    <row r="416" spans="7:15" hidden="1" x14ac:dyDescent="0.25">
      <c r="G416" s="144"/>
      <c r="H416" s="136"/>
      <c r="I416" s="133"/>
      <c r="J416" s="138"/>
      <c r="K416" s="138"/>
      <c r="L416" s="138"/>
      <c r="M416" s="138"/>
      <c r="N416" s="138"/>
      <c r="O416" s="138"/>
    </row>
    <row r="417" spans="7:15" hidden="1" x14ac:dyDescent="0.25">
      <c r="G417" s="144"/>
      <c r="H417" s="136"/>
      <c r="I417" s="133"/>
      <c r="J417" s="138"/>
      <c r="K417" s="138"/>
      <c r="L417" s="138"/>
      <c r="M417" s="138"/>
      <c r="N417" s="136"/>
      <c r="O417" s="138"/>
    </row>
    <row r="418" spans="7:15" hidden="1" x14ac:dyDescent="0.25">
      <c r="G418" s="144"/>
      <c r="H418" s="136"/>
      <c r="I418" s="133"/>
      <c r="J418" s="138"/>
      <c r="K418" s="138"/>
      <c r="L418" s="138"/>
      <c r="M418" s="138"/>
      <c r="N418" s="138"/>
      <c r="O418" s="138"/>
    </row>
    <row r="419" spans="7:15" hidden="1" x14ac:dyDescent="0.25">
      <c r="G419" s="144"/>
      <c r="H419" s="136"/>
      <c r="I419" s="133"/>
      <c r="J419" s="138"/>
      <c r="K419" s="138"/>
      <c r="L419" s="136"/>
      <c r="M419" s="138"/>
      <c r="N419" s="138"/>
      <c r="O419" s="138"/>
    </row>
    <row r="420" spans="7:15" hidden="1" x14ac:dyDescent="0.25">
      <c r="G420" s="144"/>
      <c r="H420" s="136"/>
      <c r="I420" s="133"/>
      <c r="J420" s="138"/>
      <c r="K420" s="138"/>
      <c r="L420" s="136"/>
      <c r="M420" s="138"/>
      <c r="N420" s="138"/>
      <c r="O420" s="138"/>
    </row>
    <row r="421" spans="7:15" hidden="1" x14ac:dyDescent="0.25">
      <c r="G421" s="144"/>
      <c r="H421" s="136"/>
      <c r="I421" s="133"/>
      <c r="J421" s="138"/>
      <c r="K421" s="138"/>
      <c r="L421" s="138"/>
      <c r="M421" s="138"/>
      <c r="N421" s="136"/>
      <c r="O421" s="138"/>
    </row>
    <row r="422" spans="7:15" hidden="1" x14ac:dyDescent="0.25">
      <c r="G422" s="144"/>
      <c r="H422" s="136"/>
      <c r="I422" s="133"/>
      <c r="J422" s="138"/>
      <c r="K422" s="138"/>
      <c r="L422" s="138"/>
      <c r="M422" s="138"/>
      <c r="N422" s="138"/>
      <c r="O422" s="138"/>
    </row>
    <row r="423" spans="7:15" hidden="1" x14ac:dyDescent="0.25">
      <c r="G423" s="144"/>
      <c r="H423" s="136"/>
      <c r="I423" s="133"/>
      <c r="J423" s="138"/>
      <c r="K423" s="138"/>
      <c r="L423" s="138"/>
      <c r="M423" s="138"/>
      <c r="N423" s="138"/>
      <c r="O423" s="138"/>
    </row>
    <row r="424" spans="7:15" hidden="1" x14ac:dyDescent="0.25">
      <c r="G424" s="144"/>
      <c r="H424" s="136"/>
      <c r="I424" s="133"/>
      <c r="J424" s="138"/>
      <c r="K424" s="138"/>
      <c r="L424" s="138"/>
      <c r="M424" s="138"/>
      <c r="N424" s="138"/>
      <c r="O424" s="138"/>
    </row>
    <row r="425" spans="7:15" hidden="1" x14ac:dyDescent="0.25">
      <c r="G425" s="144"/>
      <c r="H425" s="136"/>
      <c r="I425" s="133"/>
      <c r="J425" s="138"/>
      <c r="K425" s="138"/>
      <c r="L425" s="138"/>
      <c r="M425" s="138"/>
      <c r="N425" s="138"/>
      <c r="O425" s="138"/>
    </row>
    <row r="426" spans="7:15" hidden="1" x14ac:dyDescent="0.25">
      <c r="G426" s="144"/>
      <c r="H426" s="136"/>
      <c r="I426" s="133"/>
      <c r="J426" s="138"/>
      <c r="K426" s="138"/>
      <c r="L426" s="136"/>
      <c r="M426" s="138"/>
      <c r="N426" s="138"/>
      <c r="O426" s="138"/>
    </row>
    <row r="427" spans="7:15" hidden="1" x14ac:dyDescent="0.25">
      <c r="G427" s="144"/>
      <c r="H427" s="136"/>
      <c r="I427" s="133"/>
      <c r="J427" s="138"/>
      <c r="K427" s="138"/>
      <c r="L427" s="138"/>
      <c r="M427" s="138"/>
      <c r="N427" s="138"/>
      <c r="O427" s="138"/>
    </row>
    <row r="428" spans="7:15" hidden="1" x14ac:dyDescent="0.25">
      <c r="G428" s="144"/>
      <c r="H428" s="136"/>
      <c r="I428" s="133"/>
      <c r="J428" s="138"/>
      <c r="K428" s="138"/>
      <c r="L428" s="138"/>
      <c r="M428" s="138"/>
      <c r="N428" s="136"/>
      <c r="O428" s="138"/>
    </row>
    <row r="429" spans="7:15" hidden="1" x14ac:dyDescent="0.25">
      <c r="G429" s="144"/>
      <c r="H429" s="136"/>
      <c r="I429" s="133"/>
      <c r="J429" s="138"/>
      <c r="K429" s="138"/>
      <c r="L429" s="138"/>
      <c r="M429" s="138"/>
      <c r="N429" s="138"/>
      <c r="O429" s="138"/>
    </row>
    <row r="430" spans="7:15" hidden="1" x14ac:dyDescent="0.25">
      <c r="G430" s="144"/>
      <c r="H430" s="136"/>
      <c r="I430" s="133"/>
      <c r="J430" s="138"/>
      <c r="K430" s="138"/>
      <c r="L430" s="138"/>
      <c r="M430" s="138"/>
      <c r="N430" s="136"/>
      <c r="O430" s="138"/>
    </row>
    <row r="431" spans="7:15" hidden="1" x14ac:dyDescent="0.25">
      <c r="G431" s="144"/>
      <c r="H431" s="136"/>
      <c r="I431" s="133"/>
      <c r="J431" s="138"/>
      <c r="K431" s="138"/>
      <c r="L431" s="138"/>
      <c r="M431" s="138"/>
      <c r="N431" s="138"/>
      <c r="O431" s="138"/>
    </row>
    <row r="432" spans="7:15" hidden="1" x14ac:dyDescent="0.25">
      <c r="G432" s="144"/>
      <c r="H432" s="136"/>
      <c r="I432" s="133"/>
      <c r="J432" s="138"/>
      <c r="K432" s="138"/>
      <c r="L432" s="138"/>
      <c r="M432" s="138"/>
      <c r="N432" s="138"/>
      <c r="O432" s="138"/>
    </row>
    <row r="433" spans="7:15" hidden="1" x14ac:dyDescent="0.25">
      <c r="G433" s="144"/>
      <c r="H433" s="136"/>
      <c r="I433" s="133"/>
      <c r="J433" s="138"/>
      <c r="K433" s="138"/>
      <c r="L433" s="138"/>
      <c r="M433" s="138"/>
      <c r="N433" s="138"/>
      <c r="O433" s="138"/>
    </row>
    <row r="434" spans="7:15" hidden="1" x14ac:dyDescent="0.25">
      <c r="G434" s="144"/>
      <c r="H434" s="136"/>
      <c r="I434" s="133"/>
      <c r="J434" s="138"/>
      <c r="K434" s="138"/>
      <c r="L434" s="138"/>
      <c r="M434" s="138"/>
      <c r="N434" s="136"/>
      <c r="O434" s="138"/>
    </row>
    <row r="435" spans="7:15" hidden="1" x14ac:dyDescent="0.25">
      <c r="G435" s="144"/>
      <c r="H435" s="136"/>
      <c r="I435" s="133"/>
      <c r="J435" s="138"/>
      <c r="K435" s="138"/>
      <c r="L435" s="138"/>
      <c r="M435" s="138"/>
      <c r="N435" s="138"/>
      <c r="O435" s="138"/>
    </row>
    <row r="436" spans="7:15" hidden="1" x14ac:dyDescent="0.25">
      <c r="G436" s="144"/>
      <c r="H436" s="136"/>
      <c r="I436" s="133"/>
      <c r="J436" s="138"/>
      <c r="K436" s="138"/>
      <c r="L436" s="138"/>
      <c r="M436" s="138"/>
      <c r="N436" s="138"/>
      <c r="O436" s="138"/>
    </row>
    <row r="437" spans="7:15" hidden="1" x14ac:dyDescent="0.25">
      <c r="G437" s="144"/>
      <c r="H437" s="136"/>
      <c r="I437" s="133"/>
      <c r="J437" s="138"/>
      <c r="K437" s="138"/>
      <c r="L437" s="136"/>
      <c r="M437" s="138"/>
      <c r="N437" s="138"/>
      <c r="O437" s="138"/>
    </row>
    <row r="438" spans="7:15" hidden="1" x14ac:dyDescent="0.25">
      <c r="G438" s="144"/>
      <c r="H438" s="136"/>
      <c r="I438" s="133"/>
      <c r="J438" s="138"/>
      <c r="K438" s="138"/>
      <c r="L438" s="138"/>
      <c r="M438" s="138"/>
      <c r="N438" s="136"/>
      <c r="O438" s="138"/>
    </row>
    <row r="439" spans="7:15" hidden="1" x14ac:dyDescent="0.25">
      <c r="G439" s="144"/>
      <c r="H439" s="136"/>
      <c r="I439" s="133"/>
      <c r="J439" s="138"/>
      <c r="K439" s="138"/>
      <c r="L439" s="136"/>
      <c r="M439" s="138"/>
      <c r="N439" s="138"/>
      <c r="O439" s="138"/>
    </row>
    <row r="440" spans="7:15" hidden="1" x14ac:dyDescent="0.25">
      <c r="G440" s="144"/>
      <c r="H440" s="136"/>
      <c r="I440" s="133"/>
      <c r="J440" s="138"/>
      <c r="K440" s="138"/>
      <c r="L440" s="138"/>
      <c r="M440" s="138"/>
      <c r="N440" s="136"/>
      <c r="O440" s="138"/>
    </row>
    <row r="441" spans="7:15" hidden="1" x14ac:dyDescent="0.25">
      <c r="G441" s="144"/>
      <c r="H441" s="136"/>
      <c r="I441" s="133"/>
      <c r="J441" s="138"/>
      <c r="K441" s="138"/>
      <c r="L441" s="138"/>
      <c r="M441" s="138"/>
      <c r="N441" s="138"/>
      <c r="O441" s="138"/>
    </row>
    <row r="442" spans="7:15" hidden="1" x14ac:dyDescent="0.25">
      <c r="G442" s="144"/>
      <c r="H442" s="136"/>
      <c r="I442" s="133"/>
      <c r="J442" s="138"/>
      <c r="K442" s="138"/>
      <c r="L442" s="138"/>
      <c r="M442" s="138"/>
      <c r="N442" s="138"/>
      <c r="O442" s="138"/>
    </row>
    <row r="443" spans="7:15" hidden="1" x14ac:dyDescent="0.25">
      <c r="G443" s="144"/>
      <c r="H443" s="136"/>
      <c r="I443" s="133"/>
      <c r="J443" s="138"/>
      <c r="K443" s="138"/>
      <c r="L443" s="138"/>
      <c r="M443" s="138"/>
      <c r="N443" s="136"/>
      <c r="O443" s="138"/>
    </row>
    <row r="444" spans="7:15" hidden="1" x14ac:dyDescent="0.25">
      <c r="G444" s="144"/>
      <c r="H444" s="136"/>
      <c r="I444" s="133"/>
      <c r="J444" s="138"/>
      <c r="K444" s="138"/>
      <c r="L444" s="138"/>
      <c r="M444" s="138"/>
      <c r="N444" s="138"/>
      <c r="O444" s="138"/>
    </row>
    <row r="445" spans="7:15" hidden="1" x14ac:dyDescent="0.25">
      <c r="G445" s="144"/>
      <c r="H445" s="136"/>
      <c r="I445" s="133"/>
      <c r="J445" s="138"/>
      <c r="K445" s="138"/>
      <c r="L445" s="138"/>
      <c r="M445" s="138"/>
      <c r="N445" s="136"/>
      <c r="O445" s="138"/>
    </row>
    <row r="446" spans="7:15" hidden="1" x14ac:dyDescent="0.25">
      <c r="G446" s="144"/>
      <c r="H446" s="136"/>
      <c r="I446" s="133"/>
      <c r="J446" s="138"/>
      <c r="K446" s="138"/>
      <c r="L446" s="138"/>
      <c r="M446" s="138"/>
      <c r="N446" s="138"/>
      <c r="O446" s="138"/>
    </row>
    <row r="447" spans="7:15" hidden="1" x14ac:dyDescent="0.25">
      <c r="G447" s="144"/>
      <c r="H447" s="136"/>
      <c r="I447" s="133"/>
      <c r="J447" s="138"/>
      <c r="K447" s="138"/>
      <c r="L447" s="138"/>
      <c r="M447" s="138"/>
      <c r="N447" s="136"/>
      <c r="O447" s="138"/>
    </row>
    <row r="448" spans="7:15" hidden="1" x14ac:dyDescent="0.25">
      <c r="G448" s="144"/>
      <c r="H448" s="136"/>
      <c r="I448" s="133"/>
      <c r="J448" s="138"/>
      <c r="K448" s="138"/>
      <c r="L448" s="138"/>
      <c r="M448" s="138"/>
      <c r="N448" s="138"/>
      <c r="O448" s="138"/>
    </row>
    <row r="449" spans="7:15" hidden="1" x14ac:dyDescent="0.25">
      <c r="G449" s="144"/>
      <c r="H449" s="136"/>
      <c r="I449" s="133"/>
      <c r="J449" s="138"/>
      <c r="K449" s="138"/>
      <c r="L449" s="136"/>
      <c r="M449" s="138"/>
      <c r="N449" s="138"/>
      <c r="O449" s="138"/>
    </row>
    <row r="450" spans="7:15" hidden="1" x14ac:dyDescent="0.25">
      <c r="G450" s="144"/>
      <c r="H450" s="136"/>
      <c r="I450" s="133"/>
      <c r="J450" s="138"/>
      <c r="K450" s="138"/>
      <c r="L450" s="138"/>
      <c r="M450" s="138"/>
      <c r="N450" s="138"/>
      <c r="O450" s="138"/>
    </row>
    <row r="451" spans="7:15" hidden="1" x14ac:dyDescent="0.25">
      <c r="G451" s="144"/>
      <c r="H451" s="136"/>
      <c r="I451" s="133"/>
      <c r="J451" s="138"/>
      <c r="K451" s="138"/>
      <c r="L451" s="138"/>
      <c r="M451" s="138"/>
      <c r="N451" s="136"/>
      <c r="O451" s="138"/>
    </row>
    <row r="452" spans="7:15" hidden="1" x14ac:dyDescent="0.25">
      <c r="G452" s="144"/>
      <c r="H452" s="136"/>
      <c r="I452" s="133"/>
      <c r="J452" s="138"/>
      <c r="K452" s="138"/>
      <c r="L452" s="138"/>
      <c r="M452" s="138"/>
      <c r="N452" s="138"/>
      <c r="O452" s="138"/>
    </row>
    <row r="453" spans="7:15" hidden="1" x14ac:dyDescent="0.25">
      <c r="G453" s="144"/>
      <c r="H453" s="136"/>
      <c r="I453" s="133"/>
      <c r="J453" s="138"/>
      <c r="K453" s="138"/>
      <c r="L453" s="138"/>
      <c r="M453" s="138"/>
      <c r="N453" s="138"/>
      <c r="O453" s="138"/>
    </row>
    <row r="454" spans="7:15" hidden="1" x14ac:dyDescent="0.25">
      <c r="G454" s="144"/>
      <c r="H454" s="136"/>
      <c r="I454" s="133"/>
      <c r="J454" s="138"/>
      <c r="K454" s="138"/>
      <c r="L454" s="138"/>
      <c r="M454" s="138"/>
      <c r="N454" s="138"/>
      <c r="O454" s="138"/>
    </row>
    <row r="455" spans="7:15" hidden="1" x14ac:dyDescent="0.25">
      <c r="G455" s="144"/>
      <c r="H455" s="136"/>
      <c r="I455" s="133"/>
      <c r="J455" s="138"/>
      <c r="K455" s="138"/>
      <c r="L455" s="138"/>
      <c r="M455" s="138"/>
      <c r="N455" s="138"/>
      <c r="O455" s="138"/>
    </row>
    <row r="456" spans="7:15" hidden="1" x14ac:dyDescent="0.25">
      <c r="G456" s="144"/>
      <c r="H456" s="136"/>
      <c r="I456" s="133"/>
      <c r="J456" s="138"/>
      <c r="K456" s="138"/>
      <c r="L456" s="138"/>
      <c r="M456" s="138"/>
      <c r="N456" s="138"/>
      <c r="O456" s="138"/>
    </row>
    <row r="457" spans="7:15" hidden="1" x14ac:dyDescent="0.25">
      <c r="G457" s="144"/>
      <c r="H457" s="136"/>
      <c r="I457" s="133"/>
      <c r="J457" s="138"/>
      <c r="K457" s="138"/>
      <c r="L457" s="138"/>
      <c r="M457" s="138"/>
      <c r="N457" s="138"/>
      <c r="O457" s="138"/>
    </row>
    <row r="458" spans="7:15" hidden="1" x14ac:dyDescent="0.25">
      <c r="G458" s="144"/>
      <c r="H458" s="136"/>
      <c r="I458" s="133"/>
      <c r="J458" s="138"/>
      <c r="K458" s="138"/>
      <c r="L458" s="138"/>
      <c r="M458" s="138"/>
      <c r="N458" s="136"/>
      <c r="O458" s="138"/>
    </row>
    <row r="459" spans="7:15" hidden="1" x14ac:dyDescent="0.25">
      <c r="G459" s="144"/>
      <c r="H459" s="136"/>
      <c r="I459" s="133"/>
      <c r="J459" s="138"/>
      <c r="K459" s="138"/>
      <c r="L459" s="136"/>
      <c r="M459" s="138"/>
      <c r="N459" s="138"/>
      <c r="O459" s="138"/>
    </row>
    <row r="460" spans="7:15" hidden="1" x14ac:dyDescent="0.25">
      <c r="G460" s="144"/>
      <c r="H460" s="136"/>
      <c r="I460" s="133"/>
      <c r="J460" s="138"/>
      <c r="K460" s="138"/>
      <c r="L460" s="138"/>
      <c r="M460" s="138"/>
      <c r="N460" s="136"/>
      <c r="O460" s="138"/>
    </row>
    <row r="461" spans="7:15" hidden="1" x14ac:dyDescent="0.25">
      <c r="G461" s="144"/>
      <c r="H461" s="136"/>
      <c r="I461" s="133"/>
      <c r="J461" s="138"/>
      <c r="K461" s="138"/>
      <c r="L461" s="138"/>
      <c r="M461" s="138"/>
      <c r="N461" s="138"/>
      <c r="O461" s="138"/>
    </row>
    <row r="462" spans="7:15" hidden="1" x14ac:dyDescent="0.25">
      <c r="G462" s="144"/>
      <c r="H462" s="136"/>
      <c r="I462" s="133"/>
      <c r="J462" s="138"/>
      <c r="K462" s="138"/>
      <c r="L462" s="138"/>
      <c r="M462" s="138"/>
      <c r="N462" s="138"/>
      <c r="O462" s="138"/>
    </row>
    <row r="463" spans="7:15" hidden="1" x14ac:dyDescent="0.25">
      <c r="G463" s="144"/>
      <c r="H463" s="136"/>
      <c r="I463" s="133"/>
      <c r="J463" s="138"/>
      <c r="K463" s="138"/>
      <c r="L463" s="138"/>
      <c r="M463" s="138"/>
      <c r="N463" s="136"/>
      <c r="O463" s="138"/>
    </row>
    <row r="464" spans="7:15" hidden="1" x14ac:dyDescent="0.25">
      <c r="G464" s="144"/>
      <c r="H464" s="136"/>
      <c r="I464" s="133"/>
      <c r="J464" s="138"/>
      <c r="K464" s="138"/>
      <c r="L464" s="136"/>
      <c r="M464" s="138"/>
      <c r="N464" s="138"/>
      <c r="O464" s="138"/>
    </row>
    <row r="465" spans="7:15" hidden="1" x14ac:dyDescent="0.25">
      <c r="G465" s="144"/>
      <c r="H465" s="136"/>
      <c r="I465" s="133"/>
      <c r="J465" s="138"/>
      <c r="K465" s="138"/>
      <c r="L465" s="138"/>
      <c r="M465" s="138"/>
      <c r="N465" s="136"/>
      <c r="O465" s="138"/>
    </row>
    <row r="466" spans="7:15" hidden="1" x14ac:dyDescent="0.25">
      <c r="G466" s="144"/>
      <c r="H466" s="136"/>
      <c r="I466" s="133"/>
      <c r="J466" s="138"/>
      <c r="K466" s="138"/>
      <c r="L466" s="138"/>
      <c r="M466" s="138"/>
      <c r="N466" s="138"/>
      <c r="O466" s="138"/>
    </row>
    <row r="467" spans="7:15" hidden="1" x14ac:dyDescent="0.25">
      <c r="G467" s="144"/>
      <c r="H467" s="136"/>
      <c r="I467" s="133"/>
      <c r="J467" s="138"/>
      <c r="K467" s="138"/>
      <c r="L467" s="136"/>
      <c r="M467" s="138"/>
      <c r="N467" s="138"/>
      <c r="O467" s="138"/>
    </row>
    <row r="468" spans="7:15" hidden="1" x14ac:dyDescent="0.25">
      <c r="G468" s="144"/>
      <c r="H468" s="136"/>
      <c r="I468" s="133"/>
      <c r="J468" s="138"/>
      <c r="K468" s="138"/>
      <c r="L468" s="138"/>
      <c r="M468" s="138"/>
      <c r="N468" s="138"/>
      <c r="O468" s="138"/>
    </row>
    <row r="469" spans="7:15" hidden="1" x14ac:dyDescent="0.25">
      <c r="G469" s="144"/>
      <c r="H469" s="136"/>
      <c r="I469" s="133"/>
      <c r="J469" s="138"/>
      <c r="K469" s="138"/>
      <c r="L469" s="138"/>
      <c r="M469" s="138"/>
      <c r="N469" s="138"/>
      <c r="O469" s="138"/>
    </row>
    <row r="470" spans="7:15" hidden="1" x14ac:dyDescent="0.25">
      <c r="G470" s="144"/>
      <c r="H470" s="136"/>
      <c r="I470" s="133"/>
      <c r="J470" s="138"/>
      <c r="K470" s="138"/>
      <c r="L470" s="138"/>
      <c r="M470" s="138"/>
      <c r="N470" s="136"/>
      <c r="O470" s="138"/>
    </row>
    <row r="471" spans="7:15" hidden="1" x14ac:dyDescent="0.25">
      <c r="G471" s="144"/>
      <c r="H471" s="136"/>
      <c r="I471" s="133"/>
      <c r="J471" s="138"/>
      <c r="K471" s="138"/>
      <c r="L471" s="138"/>
      <c r="M471" s="138"/>
      <c r="N471" s="138"/>
      <c r="O471" s="138"/>
    </row>
    <row r="472" spans="7:15" hidden="1" x14ac:dyDescent="0.25">
      <c r="G472" s="144"/>
      <c r="H472" s="136"/>
      <c r="I472" s="133"/>
      <c r="J472" s="138"/>
      <c r="K472" s="138"/>
      <c r="L472" s="138"/>
      <c r="M472" s="138"/>
      <c r="N472" s="136"/>
      <c r="O472" s="138"/>
    </row>
    <row r="473" spans="7:15" hidden="1" x14ac:dyDescent="0.25">
      <c r="G473" s="144"/>
      <c r="H473" s="136"/>
      <c r="I473" s="133"/>
      <c r="J473" s="138"/>
      <c r="K473" s="138"/>
      <c r="L473" s="136"/>
      <c r="M473" s="138"/>
      <c r="N473" s="138"/>
      <c r="O473" s="138"/>
    </row>
    <row r="474" spans="7:15" hidden="1" x14ac:dyDescent="0.25">
      <c r="G474" s="144"/>
      <c r="H474" s="136"/>
      <c r="I474" s="133"/>
      <c r="J474" s="138"/>
      <c r="K474" s="138"/>
      <c r="L474" s="138"/>
      <c r="M474" s="138"/>
      <c r="N474" s="138"/>
      <c r="O474" s="138"/>
    </row>
    <row r="475" spans="7:15" hidden="1" x14ac:dyDescent="0.25">
      <c r="G475" s="144"/>
      <c r="H475" s="136"/>
      <c r="I475" s="133"/>
      <c r="J475" s="138"/>
      <c r="K475" s="138"/>
      <c r="L475" s="138"/>
      <c r="M475" s="138"/>
      <c r="N475" s="138"/>
      <c r="O475" s="138"/>
    </row>
    <row r="476" spans="7:15" hidden="1" x14ac:dyDescent="0.25">
      <c r="G476" s="144"/>
      <c r="H476" s="136"/>
      <c r="I476" s="133"/>
      <c r="J476" s="138"/>
      <c r="K476" s="138"/>
      <c r="L476" s="138"/>
      <c r="M476" s="138"/>
      <c r="N476" s="136"/>
      <c r="O476" s="138"/>
    </row>
    <row r="477" spans="7:15" hidden="1" x14ac:dyDescent="0.25">
      <c r="G477" s="144"/>
      <c r="H477" s="136"/>
      <c r="I477" s="133"/>
      <c r="J477" s="138"/>
      <c r="K477" s="138"/>
      <c r="L477" s="138"/>
      <c r="M477" s="138"/>
      <c r="N477" s="138"/>
      <c r="O477" s="138"/>
    </row>
    <row r="478" spans="7:15" hidden="1" x14ac:dyDescent="0.25">
      <c r="G478" s="144"/>
      <c r="H478" s="136"/>
      <c r="I478" s="133"/>
      <c r="J478" s="138"/>
      <c r="K478" s="138"/>
      <c r="L478" s="136"/>
      <c r="M478" s="138"/>
      <c r="N478" s="138"/>
      <c r="O478" s="138"/>
    </row>
    <row r="479" spans="7:15" hidden="1" x14ac:dyDescent="0.25">
      <c r="G479" s="144"/>
      <c r="H479" s="136"/>
      <c r="I479" s="133"/>
      <c r="J479" s="138"/>
      <c r="K479" s="138"/>
      <c r="L479" s="138"/>
      <c r="M479" s="138"/>
      <c r="N479" s="136"/>
      <c r="O479" s="138"/>
    </row>
    <row r="480" spans="7:15" hidden="1" x14ac:dyDescent="0.25">
      <c r="G480" s="144"/>
      <c r="H480" s="136"/>
      <c r="I480" s="133"/>
      <c r="J480" s="138"/>
      <c r="K480" s="138"/>
      <c r="L480" s="138"/>
      <c r="M480" s="138"/>
      <c r="N480" s="138"/>
      <c r="O480" s="138"/>
    </row>
    <row r="481" spans="7:15" hidden="1" x14ac:dyDescent="0.25">
      <c r="G481" s="144"/>
      <c r="H481" s="136"/>
      <c r="I481" s="133"/>
      <c r="J481" s="138"/>
      <c r="K481" s="138"/>
      <c r="L481" s="138"/>
      <c r="M481" s="138"/>
      <c r="N481" s="136"/>
      <c r="O481" s="138"/>
    </row>
    <row r="482" spans="7:15" hidden="1" x14ac:dyDescent="0.25">
      <c r="G482" s="144"/>
      <c r="H482" s="136"/>
      <c r="I482" s="133"/>
      <c r="J482" s="138"/>
      <c r="K482" s="138"/>
      <c r="L482" s="138"/>
      <c r="M482" s="138"/>
      <c r="N482" s="138"/>
      <c r="O482" s="138"/>
    </row>
    <row r="483" spans="7:15" hidden="1" x14ac:dyDescent="0.25">
      <c r="G483" s="144"/>
      <c r="H483" s="136"/>
      <c r="I483" s="133"/>
      <c r="J483" s="138"/>
      <c r="K483" s="138"/>
      <c r="L483" s="136"/>
      <c r="M483" s="138"/>
      <c r="N483" s="138"/>
      <c r="O483" s="138"/>
    </row>
    <row r="484" spans="7:15" hidden="1" x14ac:dyDescent="0.25">
      <c r="G484" s="144"/>
      <c r="H484" s="136"/>
      <c r="I484" s="133"/>
      <c r="J484" s="138"/>
      <c r="K484" s="138"/>
      <c r="L484" s="138"/>
      <c r="M484" s="138"/>
      <c r="N484" s="138"/>
      <c r="O484" s="138"/>
    </row>
    <row r="485" spans="7:15" hidden="1" x14ac:dyDescent="0.25">
      <c r="G485" s="144"/>
      <c r="H485" s="136"/>
      <c r="I485" s="133"/>
      <c r="J485" s="138"/>
      <c r="K485" s="138"/>
      <c r="L485" s="138"/>
      <c r="M485" s="138"/>
      <c r="N485" s="136"/>
      <c r="O485" s="138"/>
    </row>
    <row r="486" spans="7:15" hidden="1" x14ac:dyDescent="0.25">
      <c r="G486" s="144"/>
      <c r="H486" s="136"/>
      <c r="I486" s="133"/>
      <c r="J486" s="138"/>
      <c r="K486" s="138"/>
      <c r="L486" s="136"/>
      <c r="M486" s="138"/>
      <c r="N486" s="138"/>
      <c r="O486" s="138"/>
    </row>
    <row r="487" spans="7:15" hidden="1" x14ac:dyDescent="0.25">
      <c r="G487" s="144"/>
      <c r="H487" s="136"/>
      <c r="I487" s="133"/>
      <c r="J487" s="138"/>
      <c r="K487" s="138"/>
      <c r="L487" s="138"/>
      <c r="M487" s="138"/>
      <c r="N487" s="136"/>
      <c r="O487" s="138"/>
    </row>
    <row r="488" spans="7:15" hidden="1" x14ac:dyDescent="0.25">
      <c r="G488" s="144"/>
      <c r="H488" s="136"/>
      <c r="I488" s="133"/>
      <c r="J488" s="138"/>
      <c r="K488" s="138"/>
      <c r="L488" s="136"/>
      <c r="M488" s="138"/>
      <c r="N488" s="138"/>
      <c r="O488" s="138"/>
    </row>
    <row r="489" spans="7:15" hidden="1" x14ac:dyDescent="0.25">
      <c r="G489" s="144"/>
      <c r="H489" s="136"/>
      <c r="I489" s="133"/>
      <c r="J489" s="138"/>
      <c r="K489" s="138"/>
      <c r="L489" s="138"/>
      <c r="M489" s="138"/>
      <c r="N489" s="138"/>
      <c r="O489" s="138"/>
    </row>
    <row r="490" spans="7:15" hidden="1" x14ac:dyDescent="0.25">
      <c r="G490" s="144"/>
      <c r="H490" s="136"/>
      <c r="I490" s="133"/>
      <c r="J490" s="138"/>
      <c r="K490" s="138"/>
      <c r="L490" s="138"/>
      <c r="M490" s="138"/>
      <c r="N490" s="138"/>
      <c r="O490" s="138"/>
    </row>
    <row r="491" spans="7:15" hidden="1" x14ac:dyDescent="0.25">
      <c r="G491" s="144"/>
      <c r="H491" s="136"/>
      <c r="I491" s="133"/>
      <c r="J491" s="138"/>
      <c r="K491" s="138"/>
      <c r="L491" s="138"/>
      <c r="M491" s="138"/>
      <c r="N491" s="136"/>
      <c r="O491" s="138"/>
    </row>
    <row r="492" spans="7:15" hidden="1" x14ac:dyDescent="0.25">
      <c r="G492" s="144"/>
      <c r="H492" s="136"/>
      <c r="I492" s="133"/>
      <c r="J492" s="138"/>
      <c r="K492" s="138"/>
      <c r="L492" s="138"/>
      <c r="M492" s="138"/>
      <c r="N492" s="138"/>
      <c r="O492" s="138"/>
    </row>
    <row r="493" spans="7:15" hidden="1" x14ac:dyDescent="0.25">
      <c r="G493" s="144"/>
      <c r="H493" s="136"/>
      <c r="I493" s="133"/>
      <c r="J493" s="138"/>
      <c r="K493" s="138"/>
      <c r="L493" s="136"/>
      <c r="M493" s="138"/>
      <c r="N493" s="138"/>
      <c r="O493" s="138"/>
    </row>
    <row r="494" spans="7:15" hidden="1" x14ac:dyDescent="0.25">
      <c r="G494" s="144"/>
      <c r="H494" s="136"/>
      <c r="I494" s="133"/>
      <c r="J494" s="138"/>
      <c r="K494" s="138"/>
      <c r="L494" s="138"/>
      <c r="M494" s="138"/>
      <c r="N494" s="138"/>
      <c r="O494" s="138"/>
    </row>
    <row r="495" spans="7:15" hidden="1" x14ac:dyDescent="0.25">
      <c r="G495" s="144"/>
      <c r="H495" s="136"/>
      <c r="I495" s="133"/>
      <c r="J495" s="138"/>
      <c r="K495" s="138"/>
      <c r="L495" s="138"/>
      <c r="M495" s="138"/>
      <c r="N495" s="136"/>
      <c r="O495" s="138"/>
    </row>
    <row r="496" spans="7:15" hidden="1" x14ac:dyDescent="0.25">
      <c r="G496" s="144"/>
      <c r="H496" s="136"/>
      <c r="I496" s="133"/>
      <c r="J496" s="138"/>
      <c r="K496" s="138"/>
      <c r="L496" s="138"/>
      <c r="M496" s="138"/>
      <c r="N496" s="138"/>
      <c r="O496" s="138"/>
    </row>
    <row r="497" spans="6:15" hidden="1" x14ac:dyDescent="0.25">
      <c r="G497" s="144"/>
      <c r="H497" s="136"/>
      <c r="I497" s="133"/>
      <c r="J497" s="138"/>
      <c r="K497" s="138"/>
      <c r="L497" s="138"/>
      <c r="M497" s="138"/>
      <c r="N497" s="136"/>
      <c r="O497" s="138"/>
    </row>
    <row r="498" spans="6:15" hidden="1" x14ac:dyDescent="0.25">
      <c r="G498" s="144"/>
      <c r="H498" s="136"/>
      <c r="I498" s="133"/>
      <c r="J498" s="138"/>
      <c r="K498" s="138"/>
      <c r="L498" s="138"/>
      <c r="M498" s="138"/>
      <c r="N498" s="138"/>
      <c r="O498" s="138"/>
    </row>
    <row r="499" spans="6:15" hidden="1" x14ac:dyDescent="0.25">
      <c r="G499" s="144"/>
      <c r="H499" s="136"/>
      <c r="I499" s="133"/>
      <c r="J499" s="138"/>
      <c r="K499" s="138"/>
      <c r="L499" s="138"/>
      <c r="M499" s="138"/>
      <c r="N499" s="136"/>
      <c r="O499" s="138"/>
    </row>
    <row r="500" spans="6:15" hidden="1" x14ac:dyDescent="0.25">
      <c r="G500" s="144"/>
      <c r="H500" s="136"/>
      <c r="I500" s="133"/>
      <c r="J500" s="138"/>
      <c r="K500" s="138"/>
      <c r="L500" s="138"/>
      <c r="M500" s="138"/>
      <c r="N500" s="138"/>
      <c r="O500" s="138"/>
    </row>
    <row r="501" spans="6:15" hidden="1" x14ac:dyDescent="0.25">
      <c r="G501" s="144"/>
      <c r="H501" s="136"/>
      <c r="I501" s="133"/>
      <c r="J501" s="138"/>
      <c r="K501" s="138"/>
      <c r="L501" s="138"/>
      <c r="M501" s="138"/>
      <c r="N501" s="138"/>
      <c r="O501" s="138"/>
    </row>
    <row r="502" spans="6:15" hidden="1" x14ac:dyDescent="0.25">
      <c r="G502" s="144"/>
      <c r="H502" s="136"/>
      <c r="I502" s="133"/>
      <c r="J502" s="138"/>
      <c r="K502" s="138"/>
      <c r="L502" s="138"/>
      <c r="M502" s="138"/>
      <c r="N502" s="138"/>
      <c r="O502" s="138"/>
    </row>
    <row r="503" spans="6:15" hidden="1" x14ac:dyDescent="0.25">
      <c r="G503" s="144"/>
      <c r="H503" s="136"/>
      <c r="I503" s="133"/>
      <c r="J503" s="138"/>
      <c r="K503" s="138"/>
      <c r="L503" s="136"/>
      <c r="M503" s="138"/>
      <c r="N503" s="138"/>
      <c r="O503" s="138"/>
    </row>
    <row r="504" spans="6:15" hidden="1" x14ac:dyDescent="0.25">
      <c r="G504" s="144"/>
      <c r="H504" s="136"/>
      <c r="I504" s="133"/>
      <c r="J504" s="138"/>
      <c r="K504" s="138"/>
      <c r="L504" s="138"/>
      <c r="M504" s="138"/>
      <c r="N504" s="138"/>
      <c r="O504" s="138"/>
    </row>
    <row r="505" spans="6:15" hidden="1" x14ac:dyDescent="0.25">
      <c r="G505" s="144"/>
      <c r="H505" s="136"/>
      <c r="I505" s="133"/>
      <c r="J505" s="138"/>
      <c r="K505" s="138"/>
      <c r="L505" s="138"/>
      <c r="M505" s="138"/>
      <c r="N505" s="138"/>
      <c r="O505" s="138"/>
    </row>
    <row r="506" spans="6:15" hidden="1" x14ac:dyDescent="0.25">
      <c r="G506" s="144"/>
      <c r="H506" s="136"/>
      <c r="I506" s="133"/>
      <c r="J506" s="138"/>
      <c r="K506" s="138"/>
      <c r="L506" s="138"/>
      <c r="M506" s="138"/>
      <c r="N506" s="138"/>
      <c r="O506" s="138"/>
    </row>
    <row r="507" spans="6:15" hidden="1" x14ac:dyDescent="0.25">
      <c r="G507" s="144"/>
      <c r="H507" s="136"/>
      <c r="I507" s="133"/>
      <c r="J507" s="138"/>
      <c r="K507" s="138"/>
      <c r="L507" s="138"/>
      <c r="M507" s="138"/>
      <c r="N507" s="138"/>
      <c r="O507" s="138"/>
    </row>
    <row r="508" spans="6:15" hidden="1" x14ac:dyDescent="0.25">
      <c r="G508" s="144"/>
      <c r="H508" s="136"/>
      <c r="I508" s="133"/>
      <c r="J508" s="138"/>
      <c r="K508" s="138"/>
      <c r="L508" s="138"/>
      <c r="M508" s="138"/>
      <c r="N508" s="138"/>
      <c r="O508" s="138"/>
    </row>
    <row r="509" spans="6:15" hidden="1" x14ac:dyDescent="0.25">
      <c r="G509" s="144"/>
      <c r="H509" s="136"/>
      <c r="I509" s="133"/>
      <c r="J509" s="138"/>
      <c r="K509" s="138"/>
      <c r="L509" s="138"/>
      <c r="M509" s="138"/>
      <c r="N509" s="138"/>
      <c r="O509" s="138"/>
    </row>
    <row r="510" spans="6:15" hidden="1" x14ac:dyDescent="0.25">
      <c r="F510" s="135"/>
      <c r="G510" s="144"/>
      <c r="H510" s="136"/>
      <c r="I510" s="133"/>
      <c r="J510" s="138"/>
      <c r="K510" s="138"/>
      <c r="L510" s="138"/>
      <c r="M510" s="138"/>
      <c r="N510" s="138"/>
      <c r="O510" s="138"/>
    </row>
    <row r="511" spans="6:15" hidden="1" x14ac:dyDescent="0.25">
      <c r="F511" s="135"/>
      <c r="G511" s="144"/>
      <c r="H511" s="136"/>
      <c r="I511" s="133"/>
      <c r="J511" s="138"/>
      <c r="K511" s="138"/>
      <c r="L511" s="138"/>
      <c r="M511" s="138"/>
      <c r="N511" s="138"/>
      <c r="O511" s="138"/>
    </row>
    <row r="512" spans="6:15" hidden="1" x14ac:dyDescent="0.25">
      <c r="F512" s="135"/>
      <c r="G512" s="144"/>
      <c r="H512" s="136"/>
      <c r="I512" s="133"/>
      <c r="J512" s="138"/>
      <c r="K512" s="138"/>
      <c r="L512" s="138"/>
      <c r="M512" s="138"/>
      <c r="N512" s="138"/>
      <c r="O512" s="138"/>
    </row>
    <row r="513" spans="6:15" hidden="1" x14ac:dyDescent="0.25">
      <c r="F513" s="135"/>
      <c r="G513" s="144"/>
      <c r="H513" s="136"/>
      <c r="I513" s="133"/>
      <c r="J513" s="138"/>
      <c r="K513" s="138"/>
      <c r="L513" s="138"/>
      <c r="M513" s="138"/>
      <c r="N513" s="138"/>
      <c r="O513" s="138"/>
    </row>
    <row r="514" spans="6:15" hidden="1" x14ac:dyDescent="0.25">
      <c r="F514" s="135"/>
      <c r="G514" s="144"/>
      <c r="H514" s="136"/>
      <c r="I514" s="133"/>
      <c r="J514" s="138"/>
      <c r="K514" s="138"/>
      <c r="L514" s="138"/>
      <c r="M514" s="138"/>
      <c r="N514" s="138"/>
      <c r="O514" s="138"/>
    </row>
    <row r="515" spans="6:15" hidden="1" x14ac:dyDescent="0.25">
      <c r="F515" s="135"/>
      <c r="G515" s="144"/>
      <c r="H515" s="136"/>
      <c r="I515" s="133"/>
      <c r="J515" s="138"/>
      <c r="K515" s="138"/>
      <c r="L515" s="138"/>
      <c r="M515" s="138"/>
      <c r="N515" s="138"/>
      <c r="O515" s="138"/>
    </row>
    <row r="516" spans="6:15" hidden="1" x14ac:dyDescent="0.25">
      <c r="F516" s="135"/>
      <c r="G516" s="144"/>
      <c r="H516" s="136"/>
      <c r="I516" s="133"/>
      <c r="J516" s="138"/>
      <c r="K516" s="138"/>
      <c r="L516" s="138"/>
      <c r="M516" s="138"/>
      <c r="N516" s="138"/>
      <c r="O516" s="138"/>
    </row>
    <row r="517" spans="6:15" hidden="1" x14ac:dyDescent="0.25">
      <c r="F517" s="135"/>
      <c r="G517" s="134"/>
      <c r="H517" s="136"/>
      <c r="I517" s="133"/>
      <c r="J517" s="138"/>
      <c r="K517" s="138"/>
      <c r="L517" s="138"/>
      <c r="M517" s="138"/>
      <c r="N517" s="138"/>
      <c r="O517" s="138"/>
    </row>
    <row r="518" spans="6:15" hidden="1" x14ac:dyDescent="0.25">
      <c r="F518" s="135"/>
      <c r="G518" s="134"/>
      <c r="H518" s="136"/>
      <c r="I518" s="133"/>
      <c r="J518" s="138"/>
      <c r="K518" s="138"/>
      <c r="L518" s="138"/>
      <c r="M518" s="138"/>
      <c r="N518" s="138"/>
      <c r="O518" s="138"/>
    </row>
    <row r="519" spans="6:15" hidden="1" x14ac:dyDescent="0.25">
      <c r="F519" s="135"/>
      <c r="G519" s="134"/>
      <c r="H519" s="136"/>
      <c r="I519" s="133"/>
      <c r="J519" s="138"/>
      <c r="K519" s="138"/>
      <c r="L519" s="138"/>
      <c r="M519" s="138"/>
      <c r="N519" s="138"/>
      <c r="O519" s="138"/>
    </row>
    <row r="520" spans="6:15" hidden="1" x14ac:dyDescent="0.25">
      <c r="F520" s="135"/>
      <c r="G520" s="134"/>
      <c r="H520" s="136"/>
      <c r="I520" s="133"/>
      <c r="J520" s="138"/>
      <c r="K520" s="138"/>
      <c r="L520" s="138"/>
      <c r="M520" s="138"/>
      <c r="N520" s="138"/>
      <c r="O520" s="138"/>
    </row>
    <row r="521" spans="6:15" hidden="1" x14ac:dyDescent="0.25">
      <c r="F521" s="135"/>
      <c r="G521" s="134"/>
      <c r="H521" s="136"/>
      <c r="I521" s="133"/>
      <c r="J521" s="138"/>
      <c r="K521" s="138"/>
      <c r="L521" s="138"/>
      <c r="M521" s="138"/>
      <c r="N521" s="138"/>
      <c r="O521" s="138"/>
    </row>
    <row r="522" spans="6:15" hidden="1" x14ac:dyDescent="0.25">
      <c r="F522" s="135"/>
      <c r="G522" s="134"/>
      <c r="H522" s="136"/>
      <c r="I522" s="133"/>
      <c r="J522" s="138"/>
      <c r="K522" s="138"/>
      <c r="L522" s="138"/>
      <c r="M522" s="138"/>
      <c r="N522" s="138"/>
      <c r="O522" s="138"/>
    </row>
    <row r="523" spans="6:15" hidden="1" x14ac:dyDescent="0.25">
      <c r="F523" s="135"/>
      <c r="G523" s="134"/>
      <c r="H523" s="136"/>
      <c r="I523" s="133"/>
      <c r="J523" s="138"/>
      <c r="K523" s="138"/>
      <c r="L523" s="138"/>
      <c r="M523" s="138"/>
      <c r="N523" s="138"/>
      <c r="O523" s="138"/>
    </row>
    <row r="524" spans="6:15" hidden="1" x14ac:dyDescent="0.25">
      <c r="F524" s="135"/>
      <c r="G524" s="134"/>
      <c r="H524" s="136"/>
      <c r="I524" s="133"/>
      <c r="J524" s="138"/>
      <c r="K524" s="138"/>
      <c r="L524" s="138"/>
      <c r="M524" s="138"/>
      <c r="N524" s="138"/>
      <c r="O524" s="138"/>
    </row>
    <row r="525" spans="6:15" hidden="1" x14ac:dyDescent="0.25">
      <c r="F525" s="135"/>
      <c r="G525" s="134"/>
      <c r="H525" s="136"/>
      <c r="I525" s="133"/>
      <c r="J525" s="138"/>
      <c r="K525" s="138"/>
      <c r="L525" s="138"/>
      <c r="M525" s="138"/>
      <c r="N525" s="138"/>
      <c r="O525" s="138"/>
    </row>
    <row r="526" spans="6:15" hidden="1" x14ac:dyDescent="0.25">
      <c r="F526" s="135"/>
      <c r="G526" s="134"/>
      <c r="H526" s="136"/>
      <c r="I526" s="133"/>
      <c r="J526" s="138"/>
      <c r="K526" s="138"/>
      <c r="L526" s="138"/>
      <c r="M526" s="138"/>
      <c r="N526" s="138"/>
      <c r="O526" s="138"/>
    </row>
    <row r="527" spans="6:15" hidden="1" x14ac:dyDescent="0.25">
      <c r="F527" s="135"/>
      <c r="G527" s="134"/>
      <c r="H527" s="136"/>
      <c r="I527" s="133"/>
      <c r="J527" s="138"/>
      <c r="K527" s="138"/>
      <c r="L527" s="138"/>
      <c r="M527" s="138"/>
      <c r="N527" s="138"/>
      <c r="O527" s="138"/>
    </row>
    <row r="528" spans="6:15" hidden="1" x14ac:dyDescent="0.25">
      <c r="F528" s="135"/>
      <c r="G528" s="134"/>
      <c r="H528" s="136"/>
      <c r="I528" s="133"/>
      <c r="J528" s="138"/>
      <c r="K528" s="138"/>
      <c r="L528" s="138"/>
      <c r="M528" s="138"/>
      <c r="N528" s="138"/>
      <c r="O528" s="138"/>
    </row>
    <row r="529" spans="6:15" hidden="1" x14ac:dyDescent="0.25">
      <c r="F529" s="135"/>
      <c r="G529" s="134"/>
      <c r="H529" s="136"/>
      <c r="I529" s="133"/>
      <c r="J529" s="138"/>
      <c r="K529" s="138"/>
      <c r="L529" s="138"/>
      <c r="M529" s="138"/>
      <c r="N529" s="138"/>
      <c r="O529" s="138"/>
    </row>
    <row r="530" spans="6:15" hidden="1" x14ac:dyDescent="0.25">
      <c r="F530" s="135"/>
      <c r="G530" s="134"/>
      <c r="H530" s="136"/>
      <c r="I530" s="133"/>
      <c r="J530" s="138"/>
      <c r="K530" s="138"/>
      <c r="L530" s="138"/>
      <c r="M530" s="138"/>
      <c r="N530" s="138"/>
      <c r="O530" s="138"/>
    </row>
    <row r="531" spans="6:15" hidden="1" x14ac:dyDescent="0.25">
      <c r="F531" s="135"/>
      <c r="G531" s="134"/>
      <c r="H531" s="136"/>
      <c r="I531" s="133"/>
      <c r="J531" s="138"/>
      <c r="K531" s="138"/>
      <c r="L531" s="138"/>
      <c r="M531" s="138"/>
      <c r="N531" s="138"/>
      <c r="O531" s="138"/>
    </row>
    <row r="532" spans="6:15" hidden="1" x14ac:dyDescent="0.25">
      <c r="F532" s="135"/>
      <c r="G532" s="134"/>
      <c r="H532" s="136"/>
      <c r="I532" s="133"/>
      <c r="J532" s="138"/>
      <c r="K532" s="138"/>
      <c r="L532" s="138"/>
      <c r="M532" s="138"/>
      <c r="N532" s="138"/>
      <c r="O532" s="138"/>
    </row>
    <row r="533" spans="6:15" hidden="1" x14ac:dyDescent="0.25">
      <c r="F533" s="135"/>
      <c r="G533" s="134"/>
      <c r="H533" s="136"/>
      <c r="I533" s="133"/>
      <c r="J533" s="138"/>
      <c r="K533" s="138"/>
      <c r="L533" s="138"/>
      <c r="M533" s="138"/>
      <c r="N533" s="138"/>
      <c r="O533" s="138"/>
    </row>
    <row r="534" spans="6:15" hidden="1" x14ac:dyDescent="0.25">
      <c r="F534" s="135"/>
      <c r="G534" s="134"/>
      <c r="H534" s="136"/>
      <c r="I534" s="133"/>
      <c r="J534" s="138"/>
      <c r="K534" s="138"/>
      <c r="L534" s="138"/>
      <c r="M534" s="138"/>
      <c r="N534" s="138"/>
      <c r="O534" s="138"/>
    </row>
    <row r="535" spans="6:15" hidden="1" x14ac:dyDescent="0.25">
      <c r="F535" s="135"/>
      <c r="G535" s="134"/>
      <c r="H535" s="136"/>
      <c r="I535" s="133"/>
      <c r="J535" s="138"/>
      <c r="K535" s="138"/>
      <c r="L535" s="138"/>
      <c r="M535" s="138"/>
      <c r="N535" s="138"/>
      <c r="O535" s="138"/>
    </row>
    <row r="536" spans="6:15" hidden="1" x14ac:dyDescent="0.25">
      <c r="F536" s="135"/>
      <c r="G536" s="134"/>
      <c r="H536" s="136"/>
      <c r="I536" s="133"/>
      <c r="J536" s="138"/>
      <c r="K536" s="138"/>
      <c r="L536" s="138"/>
      <c r="M536" s="138"/>
      <c r="N536" s="138"/>
      <c r="O536" s="138"/>
    </row>
    <row r="537" spans="6:15" hidden="1" x14ac:dyDescent="0.25">
      <c r="F537" s="135"/>
      <c r="G537" s="134"/>
      <c r="H537" s="136"/>
      <c r="I537" s="133"/>
      <c r="J537" s="138"/>
      <c r="K537" s="138"/>
      <c r="L537" s="138"/>
      <c r="M537" s="138"/>
      <c r="N537" s="138"/>
      <c r="O537" s="138"/>
    </row>
    <row r="538" spans="6:15" hidden="1" x14ac:dyDescent="0.25">
      <c r="F538" s="135"/>
      <c r="G538" s="134"/>
      <c r="H538" s="136"/>
      <c r="I538" s="133"/>
      <c r="J538" s="138"/>
      <c r="K538" s="138"/>
      <c r="L538" s="138"/>
      <c r="M538" s="138"/>
      <c r="N538" s="138"/>
      <c r="O538" s="138"/>
    </row>
    <row r="539" spans="6:15" hidden="1" x14ac:dyDescent="0.25">
      <c r="F539" s="135"/>
      <c r="G539" s="134"/>
      <c r="H539" s="136"/>
      <c r="I539" s="133"/>
      <c r="J539" s="138"/>
      <c r="K539" s="138"/>
      <c r="L539" s="138"/>
      <c r="M539" s="138"/>
      <c r="N539" s="138"/>
      <c r="O539" s="138"/>
    </row>
    <row r="540" spans="6:15" hidden="1" x14ac:dyDescent="0.25">
      <c r="F540" s="135"/>
      <c r="G540" s="134"/>
      <c r="H540" s="136"/>
      <c r="I540" s="133"/>
      <c r="J540" s="138"/>
      <c r="K540" s="138"/>
      <c r="L540" s="138"/>
      <c r="M540" s="138"/>
      <c r="N540" s="138"/>
      <c r="O540" s="138"/>
    </row>
    <row r="541" spans="6:15" hidden="1" x14ac:dyDescent="0.25">
      <c r="F541" s="135"/>
      <c r="G541" s="134"/>
      <c r="H541" s="136"/>
      <c r="I541" s="133"/>
      <c r="J541" s="138"/>
      <c r="K541" s="138"/>
      <c r="L541" s="138"/>
      <c r="M541" s="138"/>
      <c r="N541" s="138"/>
      <c r="O541" s="138"/>
    </row>
    <row r="542" spans="6:15" hidden="1" x14ac:dyDescent="0.25">
      <c r="F542" s="135"/>
      <c r="G542" s="134"/>
      <c r="H542" s="136"/>
      <c r="I542" s="133"/>
      <c r="J542" s="138"/>
      <c r="K542" s="138"/>
      <c r="L542" s="138"/>
      <c r="M542" s="138"/>
      <c r="N542" s="138"/>
      <c r="O542" s="138"/>
    </row>
    <row r="543" spans="6:15" hidden="1" x14ac:dyDescent="0.25">
      <c r="F543" s="135"/>
      <c r="G543" s="134"/>
      <c r="H543" s="136"/>
      <c r="I543" s="133"/>
      <c r="J543" s="138"/>
      <c r="K543" s="138"/>
      <c r="L543" s="138"/>
      <c r="M543" s="138"/>
      <c r="N543" s="138"/>
      <c r="O543" s="138"/>
    </row>
    <row r="544" spans="6:15" hidden="1" x14ac:dyDescent="0.25">
      <c r="F544" s="135"/>
      <c r="G544" s="134"/>
      <c r="H544" s="136"/>
      <c r="I544" s="133"/>
      <c r="J544" s="138"/>
      <c r="K544" s="138"/>
      <c r="L544" s="138"/>
      <c r="M544" s="138"/>
      <c r="N544" s="138"/>
      <c r="O544" s="138"/>
    </row>
    <row r="545" spans="6:15" hidden="1" x14ac:dyDescent="0.25">
      <c r="F545" s="135"/>
      <c r="G545" s="134"/>
      <c r="H545" s="136"/>
      <c r="I545" s="133"/>
      <c r="J545" s="138"/>
      <c r="K545" s="138"/>
      <c r="L545" s="138"/>
      <c r="M545" s="138"/>
      <c r="N545" s="138"/>
      <c r="O545" s="138"/>
    </row>
    <row r="546" spans="6:15" hidden="1" x14ac:dyDescent="0.25">
      <c r="F546" s="135"/>
      <c r="G546" s="134"/>
      <c r="H546" s="136"/>
      <c r="I546" s="133"/>
      <c r="J546" s="138"/>
      <c r="K546" s="138"/>
      <c r="L546" s="138"/>
      <c r="M546" s="138"/>
      <c r="N546" s="138"/>
      <c r="O546" s="138"/>
    </row>
    <row r="547" spans="6:15" hidden="1" x14ac:dyDescent="0.25">
      <c r="F547" s="135"/>
      <c r="G547" s="134"/>
      <c r="H547" s="136"/>
      <c r="I547" s="133"/>
      <c r="J547" s="138"/>
      <c r="K547" s="138"/>
      <c r="L547" s="138"/>
      <c r="M547" s="138"/>
      <c r="N547" s="138"/>
      <c r="O547" s="138"/>
    </row>
    <row r="548" spans="6:15" hidden="1" x14ac:dyDescent="0.25">
      <c r="F548" s="135"/>
      <c r="G548" s="134"/>
      <c r="H548" s="136"/>
      <c r="I548" s="133"/>
      <c r="J548" s="138"/>
      <c r="K548" s="138"/>
      <c r="L548" s="138"/>
      <c r="M548" s="138"/>
      <c r="N548" s="138"/>
      <c r="O548" s="138"/>
    </row>
    <row r="549" spans="6:15" hidden="1" x14ac:dyDescent="0.25">
      <c r="F549" s="135"/>
      <c r="G549" s="134"/>
      <c r="H549" s="136"/>
      <c r="I549" s="133"/>
      <c r="J549" s="138"/>
      <c r="K549" s="138"/>
      <c r="L549" s="138"/>
      <c r="M549" s="138"/>
      <c r="N549" s="138"/>
      <c r="O549" s="138"/>
    </row>
    <row r="550" spans="6:15" hidden="1" x14ac:dyDescent="0.25">
      <c r="F550" s="135"/>
      <c r="G550" s="134"/>
      <c r="H550" s="136"/>
      <c r="I550" s="133"/>
      <c r="J550" s="138"/>
      <c r="K550" s="138"/>
      <c r="L550" s="138"/>
      <c r="M550" s="138"/>
      <c r="N550" s="138"/>
      <c r="O550" s="138"/>
    </row>
    <row r="551" spans="6:15" hidden="1" x14ac:dyDescent="0.25">
      <c r="F551" s="135"/>
      <c r="G551" s="134"/>
      <c r="H551" s="136"/>
      <c r="I551" s="133"/>
      <c r="J551" s="138"/>
      <c r="K551" s="138"/>
      <c r="L551" s="138"/>
      <c r="M551" s="138"/>
      <c r="N551" s="138"/>
      <c r="O551" s="138"/>
    </row>
    <row r="552" spans="6:15" hidden="1" x14ac:dyDescent="0.25">
      <c r="F552" s="135"/>
      <c r="G552" s="134"/>
      <c r="H552" s="136"/>
      <c r="I552" s="133"/>
      <c r="J552" s="138"/>
      <c r="K552" s="138"/>
      <c r="L552" s="138"/>
      <c r="M552" s="138"/>
      <c r="N552" s="138"/>
      <c r="O552" s="138"/>
    </row>
    <row r="553" spans="6:15" hidden="1" x14ac:dyDescent="0.25">
      <c r="F553" s="135"/>
      <c r="G553" s="134"/>
      <c r="H553" s="136"/>
      <c r="I553" s="133"/>
      <c r="J553" s="138"/>
      <c r="K553" s="138"/>
      <c r="L553" s="138"/>
      <c r="M553" s="138"/>
      <c r="N553" s="138"/>
      <c r="O553" s="138"/>
    </row>
    <row r="554" spans="6:15" hidden="1" x14ac:dyDescent="0.25">
      <c r="F554" s="135"/>
      <c r="G554" s="134"/>
      <c r="H554" s="136"/>
      <c r="I554" s="133"/>
      <c r="J554" s="138"/>
      <c r="K554" s="138"/>
      <c r="L554" s="138"/>
      <c r="M554" s="138"/>
      <c r="N554" s="138"/>
      <c r="O554" s="138"/>
    </row>
    <row r="555" spans="6:15" hidden="1" x14ac:dyDescent="0.25">
      <c r="F555" s="135"/>
      <c r="G555" s="134"/>
      <c r="H555" s="136"/>
      <c r="I555" s="133"/>
      <c r="J555" s="138"/>
      <c r="K555" s="138"/>
      <c r="L555" s="138"/>
      <c r="M555" s="138"/>
      <c r="N555" s="138"/>
      <c r="O555" s="138"/>
    </row>
    <row r="556" spans="6:15" hidden="1" x14ac:dyDescent="0.25">
      <c r="F556" s="135"/>
      <c r="G556" s="134"/>
      <c r="H556" s="136"/>
      <c r="I556" s="133"/>
      <c r="J556" s="138"/>
      <c r="K556" s="138"/>
      <c r="L556" s="138"/>
      <c r="M556" s="138"/>
      <c r="N556" s="138"/>
      <c r="O556" s="138"/>
    </row>
    <row r="557" spans="6:15" hidden="1" x14ac:dyDescent="0.25">
      <c r="F557" s="135"/>
      <c r="G557" s="134"/>
      <c r="H557" s="136"/>
      <c r="I557" s="133"/>
      <c r="J557" s="138"/>
      <c r="K557" s="138"/>
      <c r="L557" s="138"/>
      <c r="M557" s="138"/>
      <c r="N557" s="138"/>
      <c r="O557" s="138"/>
    </row>
    <row r="558" spans="6:15" hidden="1" x14ac:dyDescent="0.25">
      <c r="F558" s="135"/>
      <c r="G558" s="134"/>
      <c r="H558" s="136"/>
      <c r="I558" s="133"/>
      <c r="J558" s="138"/>
      <c r="K558" s="138"/>
      <c r="L558" s="138"/>
      <c r="M558" s="138"/>
      <c r="N558" s="138"/>
      <c r="O558" s="138"/>
    </row>
    <row r="559" spans="6:15" hidden="1" x14ac:dyDescent="0.25">
      <c r="F559" s="135"/>
      <c r="G559" s="134"/>
      <c r="H559" s="136"/>
      <c r="I559" s="133"/>
      <c r="J559" s="138"/>
      <c r="K559" s="138"/>
      <c r="L559" s="138"/>
      <c r="M559" s="138"/>
      <c r="N559" s="138"/>
      <c r="O559" s="138"/>
    </row>
    <row r="560" spans="6:15" hidden="1" x14ac:dyDescent="0.25">
      <c r="F560" s="135"/>
      <c r="G560" s="134"/>
      <c r="H560" s="136"/>
      <c r="I560" s="133"/>
      <c r="J560" s="138"/>
      <c r="K560" s="138"/>
      <c r="L560" s="138"/>
      <c r="M560" s="138"/>
      <c r="N560" s="138"/>
      <c r="O560" s="138"/>
    </row>
    <row r="561" spans="6:15" hidden="1" x14ac:dyDescent="0.25">
      <c r="F561" s="135"/>
      <c r="G561" s="134"/>
      <c r="H561" s="136"/>
      <c r="I561" s="133"/>
      <c r="J561" s="138"/>
      <c r="K561" s="138"/>
      <c r="L561" s="138"/>
      <c r="M561" s="138"/>
      <c r="N561" s="138"/>
      <c r="O561" s="138"/>
    </row>
    <row r="562" spans="6:15" hidden="1" x14ac:dyDescent="0.25">
      <c r="F562" s="135"/>
      <c r="G562" s="134"/>
      <c r="H562" s="136"/>
      <c r="I562" s="133"/>
      <c r="J562" s="138"/>
      <c r="K562" s="138"/>
      <c r="L562" s="138"/>
      <c r="M562" s="138"/>
      <c r="N562" s="138"/>
      <c r="O562" s="138"/>
    </row>
    <row r="563" spans="6:15" hidden="1" x14ac:dyDescent="0.25">
      <c r="F563" s="135"/>
      <c r="G563" s="134"/>
      <c r="H563" s="136"/>
      <c r="I563" s="133"/>
      <c r="J563" s="138"/>
      <c r="K563" s="138"/>
      <c r="L563" s="138"/>
      <c r="M563" s="138"/>
      <c r="N563" s="138"/>
      <c r="O563" s="138"/>
    </row>
    <row r="564" spans="6:15" hidden="1" x14ac:dyDescent="0.25">
      <c r="F564" s="135"/>
      <c r="G564" s="134"/>
      <c r="H564" s="136"/>
      <c r="I564" s="133"/>
      <c r="J564" s="138"/>
      <c r="K564" s="138"/>
      <c r="L564" s="138"/>
      <c r="M564" s="138"/>
      <c r="N564" s="138"/>
      <c r="O564" s="138"/>
    </row>
    <row r="565" spans="6:15" hidden="1" x14ac:dyDescent="0.25">
      <c r="F565" s="135"/>
      <c r="G565" s="134"/>
      <c r="H565" s="136"/>
      <c r="I565" s="133"/>
      <c r="J565" s="138"/>
      <c r="K565" s="138"/>
      <c r="L565" s="138"/>
      <c r="M565" s="138"/>
      <c r="N565" s="138"/>
      <c r="O565" s="138"/>
    </row>
    <row r="566" spans="6:15" hidden="1" x14ac:dyDescent="0.25">
      <c r="F566" s="135"/>
      <c r="G566" s="134"/>
      <c r="H566" s="136"/>
      <c r="I566" s="133"/>
      <c r="J566" s="138"/>
      <c r="K566" s="138"/>
      <c r="L566" s="138"/>
      <c r="M566" s="138"/>
      <c r="N566" s="138"/>
      <c r="O566" s="138"/>
    </row>
    <row r="567" spans="6:15" hidden="1" x14ac:dyDescent="0.25">
      <c r="F567" s="135"/>
      <c r="G567" s="134"/>
      <c r="H567" s="136"/>
      <c r="I567" s="133"/>
      <c r="J567" s="138"/>
      <c r="K567" s="138"/>
      <c r="L567" s="138"/>
      <c r="M567" s="138"/>
      <c r="N567" s="138"/>
      <c r="O567" s="138"/>
    </row>
    <row r="568" spans="6:15" hidden="1" x14ac:dyDescent="0.25">
      <c r="F568" s="135"/>
      <c r="G568" s="134"/>
      <c r="H568" s="136"/>
      <c r="I568" s="133"/>
      <c r="J568" s="138"/>
      <c r="K568" s="138"/>
      <c r="L568" s="138"/>
      <c r="M568" s="138"/>
      <c r="N568" s="138"/>
      <c r="O568" s="138"/>
    </row>
    <row r="569" spans="6:15" hidden="1" x14ac:dyDescent="0.25">
      <c r="F569" s="135"/>
      <c r="G569" s="134"/>
      <c r="H569" s="136"/>
      <c r="I569" s="133"/>
      <c r="J569" s="138"/>
      <c r="K569" s="138"/>
      <c r="L569" s="138"/>
      <c r="M569" s="138"/>
      <c r="N569" s="138"/>
      <c r="O569" s="138"/>
    </row>
    <row r="570" spans="6:15" hidden="1" x14ac:dyDescent="0.25">
      <c r="F570" s="135"/>
      <c r="G570" s="134"/>
      <c r="H570" s="136"/>
      <c r="I570" s="133"/>
      <c r="J570" s="138"/>
      <c r="K570" s="138"/>
      <c r="L570" s="138"/>
      <c r="M570" s="138"/>
      <c r="N570" s="138"/>
      <c r="O570" s="138"/>
    </row>
    <row r="571" spans="6:15" hidden="1" x14ac:dyDescent="0.25">
      <c r="F571" s="135"/>
      <c r="G571" s="134"/>
      <c r="H571" s="136"/>
      <c r="I571" s="133"/>
      <c r="J571" s="138"/>
      <c r="K571" s="138"/>
      <c r="L571" s="138"/>
      <c r="M571" s="138"/>
      <c r="N571" s="138"/>
      <c r="O571" s="138"/>
    </row>
    <row r="572" spans="6:15" hidden="1" x14ac:dyDescent="0.25">
      <c r="F572" s="135"/>
      <c r="G572" s="134"/>
      <c r="H572" s="136"/>
      <c r="I572" s="133"/>
      <c r="J572" s="138"/>
      <c r="K572" s="138"/>
      <c r="L572" s="138"/>
      <c r="M572" s="138"/>
      <c r="N572" s="138"/>
      <c r="O572" s="138"/>
    </row>
    <row r="573" spans="6:15" hidden="1" x14ac:dyDescent="0.25">
      <c r="F573" s="135"/>
      <c r="G573" s="134"/>
      <c r="H573" s="136"/>
      <c r="I573" s="133"/>
      <c r="J573" s="138"/>
      <c r="K573" s="138"/>
      <c r="L573" s="138"/>
      <c r="M573" s="138"/>
      <c r="N573" s="138"/>
      <c r="O573" s="138"/>
    </row>
    <row r="574" spans="6:15" hidden="1" x14ac:dyDescent="0.25">
      <c r="F574" s="135"/>
      <c r="G574" s="134"/>
      <c r="H574" s="136"/>
      <c r="I574" s="133"/>
      <c r="J574" s="138"/>
      <c r="K574" s="138"/>
      <c r="L574" s="138"/>
      <c r="M574" s="138"/>
      <c r="N574" s="138"/>
      <c r="O574" s="138"/>
    </row>
    <row r="575" spans="6:15" hidden="1" x14ac:dyDescent="0.25">
      <c r="F575" s="135"/>
      <c r="G575" s="134"/>
      <c r="H575" s="136"/>
      <c r="I575" s="133"/>
      <c r="J575" s="138"/>
      <c r="K575" s="138"/>
      <c r="L575" s="138"/>
      <c r="M575" s="138"/>
      <c r="N575" s="138"/>
      <c r="O575" s="138"/>
    </row>
    <row r="576" spans="6:15" hidden="1" x14ac:dyDescent="0.25">
      <c r="F576" s="135"/>
      <c r="G576" s="134"/>
      <c r="H576" s="136"/>
      <c r="I576" s="133"/>
      <c r="J576" s="138"/>
      <c r="K576" s="138"/>
      <c r="L576" s="138"/>
      <c r="M576" s="138"/>
      <c r="N576" s="138"/>
      <c r="O576" s="138"/>
    </row>
    <row r="577" spans="6:15" hidden="1" x14ac:dyDescent="0.25">
      <c r="F577" s="135"/>
      <c r="G577" s="134"/>
      <c r="H577" s="136"/>
      <c r="I577" s="133"/>
      <c r="J577" s="138"/>
      <c r="K577" s="138"/>
      <c r="L577" s="138"/>
      <c r="M577" s="138"/>
      <c r="N577" s="138"/>
      <c r="O577" s="138"/>
    </row>
    <row r="578" spans="6:15" hidden="1" x14ac:dyDescent="0.25">
      <c r="F578" s="135"/>
      <c r="G578" s="134"/>
      <c r="H578" s="136"/>
      <c r="I578" s="133"/>
      <c r="J578" s="138"/>
      <c r="K578" s="138"/>
      <c r="L578" s="138"/>
      <c r="M578" s="138"/>
      <c r="N578" s="138"/>
      <c r="O578" s="138"/>
    </row>
    <row r="579" spans="6:15" hidden="1" x14ac:dyDescent="0.25">
      <c r="F579" s="135"/>
      <c r="G579" s="134"/>
      <c r="H579" s="136"/>
      <c r="I579" s="133"/>
      <c r="J579" s="138"/>
      <c r="K579" s="138"/>
      <c r="L579" s="138"/>
      <c r="M579" s="138"/>
      <c r="N579" s="138"/>
      <c r="O579" s="138"/>
    </row>
    <row r="580" spans="6:15" hidden="1" x14ac:dyDescent="0.25">
      <c r="F580" s="135"/>
      <c r="G580" s="134"/>
      <c r="H580" s="136"/>
      <c r="I580" s="133"/>
      <c r="J580" s="138"/>
      <c r="K580" s="138"/>
      <c r="L580" s="138"/>
      <c r="M580" s="138"/>
      <c r="N580" s="138"/>
      <c r="O580" s="138"/>
    </row>
    <row r="581" spans="6:15" hidden="1" x14ac:dyDescent="0.25">
      <c r="F581" s="135"/>
      <c r="G581" s="134"/>
      <c r="H581" s="136"/>
      <c r="I581" s="133"/>
      <c r="J581" s="138"/>
      <c r="K581" s="138"/>
      <c r="L581" s="138"/>
      <c r="M581" s="138"/>
      <c r="N581" s="138"/>
      <c r="O581" s="138"/>
    </row>
    <row r="582" spans="6:15" hidden="1" x14ac:dyDescent="0.25">
      <c r="F582" s="135"/>
      <c r="G582" s="134"/>
      <c r="H582" s="136"/>
      <c r="I582" s="133"/>
      <c r="J582" s="138"/>
      <c r="K582" s="138"/>
      <c r="L582" s="138"/>
      <c r="M582" s="138"/>
      <c r="N582" s="138"/>
      <c r="O582" s="138"/>
    </row>
    <row r="583" spans="6:15" hidden="1" x14ac:dyDescent="0.25">
      <c r="F583" s="135"/>
      <c r="G583" s="134"/>
      <c r="H583" s="136"/>
      <c r="I583" s="133"/>
      <c r="J583" s="138"/>
      <c r="K583" s="138"/>
      <c r="L583" s="138"/>
      <c r="M583" s="138"/>
      <c r="N583" s="138"/>
      <c r="O583" s="138"/>
    </row>
    <row r="584" spans="6:15" hidden="1" x14ac:dyDescent="0.25">
      <c r="F584" s="135"/>
      <c r="G584" s="134"/>
      <c r="H584" s="136"/>
      <c r="I584" s="133"/>
      <c r="J584" s="138"/>
      <c r="K584" s="138"/>
      <c r="L584" s="138"/>
      <c r="M584" s="138"/>
      <c r="N584" s="138"/>
      <c r="O584" s="138"/>
    </row>
    <row r="585" spans="6:15" hidden="1" x14ac:dyDescent="0.25">
      <c r="F585" s="135"/>
      <c r="G585" s="134"/>
      <c r="H585" s="136"/>
      <c r="I585" s="133"/>
      <c r="J585" s="138"/>
      <c r="K585" s="138"/>
      <c r="L585" s="138"/>
      <c r="M585" s="138"/>
      <c r="N585" s="138"/>
      <c r="O585" s="138"/>
    </row>
    <row r="586" spans="6:15" hidden="1" x14ac:dyDescent="0.25">
      <c r="F586" s="135"/>
      <c r="G586" s="134"/>
      <c r="H586" s="136"/>
      <c r="I586" s="133"/>
      <c r="J586" s="138"/>
      <c r="K586" s="138"/>
      <c r="L586" s="138"/>
      <c r="M586" s="138"/>
      <c r="N586" s="138"/>
      <c r="O586" s="138"/>
    </row>
    <row r="587" spans="6:15" hidden="1" x14ac:dyDescent="0.25">
      <c r="F587" s="135"/>
      <c r="G587" s="134"/>
      <c r="H587" s="136"/>
      <c r="I587" s="133"/>
      <c r="J587" s="138"/>
      <c r="K587" s="138"/>
      <c r="L587" s="138"/>
      <c r="M587" s="138"/>
      <c r="N587" s="138"/>
      <c r="O587" s="138"/>
    </row>
    <row r="588" spans="6:15" hidden="1" x14ac:dyDescent="0.25">
      <c r="F588" s="135"/>
      <c r="G588" s="134"/>
      <c r="H588" s="136"/>
      <c r="I588" s="133"/>
      <c r="J588" s="138"/>
      <c r="K588" s="138"/>
      <c r="L588" s="138"/>
      <c r="M588" s="138"/>
      <c r="N588" s="138"/>
      <c r="O588" s="138"/>
    </row>
    <row r="589" spans="6:15" hidden="1" x14ac:dyDescent="0.25">
      <c r="F589" s="135"/>
      <c r="G589" s="134"/>
      <c r="H589" s="136"/>
      <c r="I589" s="133"/>
      <c r="J589" s="138"/>
      <c r="K589" s="138"/>
      <c r="L589" s="138"/>
      <c r="M589" s="138"/>
      <c r="N589" s="138"/>
      <c r="O589" s="138"/>
    </row>
    <row r="590" spans="6:15" hidden="1" x14ac:dyDescent="0.25">
      <c r="F590" s="135"/>
      <c r="G590" s="134"/>
      <c r="H590" s="136"/>
      <c r="I590" s="133"/>
      <c r="J590" s="138"/>
      <c r="K590" s="138"/>
      <c r="L590" s="138"/>
      <c r="M590" s="138"/>
      <c r="N590" s="138"/>
      <c r="O590" s="138"/>
    </row>
    <row r="591" spans="6:15" hidden="1" x14ac:dyDescent="0.25">
      <c r="F591" s="135"/>
      <c r="G591" s="134"/>
      <c r="H591" s="136"/>
      <c r="I591" s="133"/>
      <c r="J591" s="138"/>
      <c r="K591" s="138"/>
      <c r="L591" s="138"/>
      <c r="M591" s="138"/>
      <c r="N591" s="138"/>
      <c r="O591" s="138"/>
    </row>
    <row r="592" spans="6:15" hidden="1" x14ac:dyDescent="0.25">
      <c r="F592" s="135"/>
      <c r="G592" s="134"/>
      <c r="H592" s="136"/>
      <c r="I592" s="133"/>
      <c r="J592" s="138"/>
      <c r="K592" s="138"/>
      <c r="L592" s="138"/>
      <c r="M592" s="138"/>
      <c r="N592" s="138"/>
      <c r="O592" s="138"/>
    </row>
    <row r="593" spans="6:15" hidden="1" x14ac:dyDescent="0.25">
      <c r="F593" s="135"/>
      <c r="G593" s="134"/>
      <c r="H593" s="136"/>
      <c r="I593" s="133"/>
      <c r="J593" s="138"/>
      <c r="K593" s="138"/>
      <c r="L593" s="138"/>
      <c r="M593" s="138"/>
      <c r="N593" s="138"/>
      <c r="O593" s="138"/>
    </row>
    <row r="594" spans="6:15" hidden="1" x14ac:dyDescent="0.25">
      <c r="F594" s="135"/>
      <c r="G594" s="134"/>
      <c r="H594" s="136"/>
      <c r="I594" s="133"/>
      <c r="J594" s="138"/>
      <c r="K594" s="138"/>
      <c r="L594" s="138"/>
      <c r="M594" s="138"/>
      <c r="N594" s="138"/>
      <c r="O594" s="138"/>
    </row>
    <row r="595" spans="6:15" hidden="1" x14ac:dyDescent="0.25">
      <c r="F595" s="135"/>
      <c r="G595" s="134"/>
      <c r="H595" s="136"/>
      <c r="I595" s="133"/>
      <c r="J595" s="138"/>
      <c r="K595" s="138"/>
      <c r="L595" s="138"/>
      <c r="M595" s="138"/>
      <c r="N595" s="138"/>
      <c r="O595" s="138"/>
    </row>
    <row r="596" spans="6:15" hidden="1" x14ac:dyDescent="0.25">
      <c r="F596" s="135"/>
      <c r="G596" s="134"/>
      <c r="H596" s="136"/>
      <c r="I596" s="133"/>
      <c r="J596" s="138"/>
      <c r="K596" s="138"/>
      <c r="L596" s="138"/>
      <c r="M596" s="138"/>
      <c r="N596" s="138"/>
      <c r="O596" s="138"/>
    </row>
    <row r="597" spans="6:15" hidden="1" x14ac:dyDescent="0.25">
      <c r="F597" s="135"/>
      <c r="G597" s="134"/>
      <c r="H597" s="136"/>
      <c r="I597" s="133"/>
      <c r="J597" s="138"/>
      <c r="K597" s="138"/>
      <c r="L597" s="138"/>
      <c r="M597" s="138"/>
      <c r="N597" s="138"/>
      <c r="O597" s="138"/>
    </row>
    <row r="598" spans="6:15" hidden="1" x14ac:dyDescent="0.25">
      <c r="F598" s="135"/>
      <c r="G598" s="134"/>
      <c r="H598" s="136"/>
      <c r="I598" s="133"/>
      <c r="J598" s="138"/>
      <c r="K598" s="138"/>
      <c r="L598" s="138"/>
      <c r="M598" s="138"/>
      <c r="N598" s="138"/>
      <c r="O598" s="138"/>
    </row>
    <row r="599" spans="6:15" hidden="1" x14ac:dyDescent="0.25">
      <c r="F599" s="135"/>
      <c r="G599" s="134"/>
      <c r="H599" s="136"/>
      <c r="I599" s="133"/>
      <c r="J599" s="138"/>
      <c r="K599" s="138"/>
      <c r="L599" s="138"/>
      <c r="M599" s="138"/>
      <c r="N599" s="138"/>
      <c r="O599" s="138"/>
    </row>
    <row r="600" spans="6:15" hidden="1" x14ac:dyDescent="0.25">
      <c r="F600" s="135"/>
      <c r="G600" s="134"/>
      <c r="H600" s="136"/>
      <c r="I600" s="133"/>
      <c r="J600" s="138"/>
      <c r="K600" s="138"/>
      <c r="L600" s="138"/>
      <c r="M600" s="138"/>
      <c r="N600" s="138"/>
      <c r="O600" s="138"/>
    </row>
    <row r="601" spans="6:15" hidden="1" x14ac:dyDescent="0.25">
      <c r="F601" s="135"/>
      <c r="G601" s="134"/>
      <c r="H601" s="136"/>
      <c r="I601" s="133"/>
      <c r="J601" s="138"/>
      <c r="K601" s="138"/>
      <c r="L601" s="138"/>
      <c r="M601" s="138"/>
      <c r="N601" s="138"/>
      <c r="O601" s="138"/>
    </row>
    <row r="602" spans="6:15" hidden="1" x14ac:dyDescent="0.25">
      <c r="F602" s="135"/>
      <c r="G602" s="134"/>
      <c r="H602" s="136"/>
      <c r="I602" s="133"/>
      <c r="J602" s="138"/>
      <c r="K602" s="138"/>
      <c r="L602" s="138"/>
      <c r="M602" s="138"/>
      <c r="N602" s="138"/>
      <c r="O602" s="138"/>
    </row>
    <row r="603" spans="6:15" hidden="1" x14ac:dyDescent="0.25">
      <c r="F603" s="135"/>
      <c r="G603" s="134"/>
      <c r="H603" s="136"/>
      <c r="I603" s="133"/>
      <c r="J603" s="138"/>
      <c r="K603" s="138"/>
      <c r="L603" s="138"/>
      <c r="M603" s="138"/>
      <c r="N603" s="138"/>
      <c r="O603" s="138"/>
    </row>
    <row r="604" spans="6:15" hidden="1" x14ac:dyDescent="0.25">
      <c r="F604" s="135"/>
      <c r="G604" s="134"/>
      <c r="H604" s="136"/>
      <c r="I604" s="133"/>
      <c r="J604" s="138"/>
      <c r="K604" s="138"/>
      <c r="L604" s="138"/>
      <c r="M604" s="138"/>
      <c r="N604" s="138"/>
      <c r="O604" s="138"/>
    </row>
    <row r="605" spans="6:15" hidden="1" x14ac:dyDescent="0.25">
      <c r="F605" s="135"/>
      <c r="G605" s="134"/>
      <c r="H605" s="136"/>
      <c r="I605" s="133"/>
      <c r="J605" s="138"/>
      <c r="K605" s="138"/>
      <c r="L605" s="138"/>
      <c r="M605" s="138"/>
      <c r="N605" s="138"/>
      <c r="O605" s="138"/>
    </row>
    <row r="606" spans="6:15" hidden="1" x14ac:dyDescent="0.25">
      <c r="F606" s="135"/>
      <c r="G606" s="134"/>
      <c r="H606" s="136"/>
      <c r="I606" s="133"/>
      <c r="J606" s="138"/>
      <c r="K606" s="138"/>
      <c r="L606" s="138"/>
      <c r="M606" s="138"/>
      <c r="N606" s="138"/>
      <c r="O606" s="138"/>
    </row>
    <row r="607" spans="6:15" hidden="1" x14ac:dyDescent="0.25">
      <c r="F607" s="135"/>
      <c r="G607" s="134"/>
      <c r="H607" s="136"/>
      <c r="I607" s="133"/>
      <c r="J607" s="138"/>
      <c r="K607" s="138"/>
      <c r="L607" s="138"/>
      <c r="M607" s="138"/>
      <c r="N607" s="138"/>
      <c r="O607" s="138"/>
    </row>
    <row r="608" spans="6:15" hidden="1" x14ac:dyDescent="0.25">
      <c r="F608" s="135"/>
      <c r="G608" s="134"/>
      <c r="H608" s="136"/>
      <c r="I608" s="133"/>
      <c r="J608" s="138"/>
      <c r="K608" s="138"/>
      <c r="L608" s="138"/>
      <c r="M608" s="138"/>
      <c r="N608" s="138"/>
      <c r="O608" s="138"/>
    </row>
    <row r="609" spans="6:15" hidden="1" x14ac:dyDescent="0.25">
      <c r="F609" s="135"/>
      <c r="G609" s="134"/>
      <c r="H609" s="136"/>
      <c r="I609" s="133"/>
      <c r="J609" s="138"/>
      <c r="K609" s="138"/>
      <c r="L609" s="138"/>
      <c r="M609" s="138"/>
      <c r="N609" s="138"/>
      <c r="O609" s="138"/>
    </row>
    <row r="610" spans="6:15" hidden="1" x14ac:dyDescent="0.25">
      <c r="F610" s="135"/>
      <c r="G610" s="134"/>
      <c r="H610" s="136"/>
      <c r="I610" s="133"/>
      <c r="J610" s="138"/>
      <c r="K610" s="138"/>
      <c r="L610" s="138"/>
      <c r="M610" s="138"/>
      <c r="N610" s="138"/>
      <c r="O610" s="138"/>
    </row>
    <row r="611" spans="6:15" hidden="1" x14ac:dyDescent="0.25">
      <c r="F611" s="135"/>
      <c r="G611" s="134"/>
      <c r="H611" s="136"/>
      <c r="I611" s="133"/>
      <c r="J611" s="138"/>
      <c r="K611" s="138"/>
      <c r="L611" s="138"/>
      <c r="M611" s="138"/>
      <c r="N611" s="138"/>
      <c r="O611" s="138"/>
    </row>
    <row r="612" spans="6:15" hidden="1" x14ac:dyDescent="0.25">
      <c r="F612" s="135"/>
      <c r="G612" s="134"/>
      <c r="H612" s="136"/>
      <c r="I612" s="133"/>
      <c r="J612" s="138"/>
      <c r="K612" s="138"/>
      <c r="L612" s="138"/>
      <c r="M612" s="138"/>
      <c r="N612" s="138"/>
      <c r="O612" s="138"/>
    </row>
    <row r="613" spans="6:15" hidden="1" x14ac:dyDescent="0.25">
      <c r="F613" s="135"/>
      <c r="G613" s="134"/>
      <c r="H613" s="136"/>
      <c r="I613" s="133"/>
      <c r="J613" s="138"/>
      <c r="K613" s="138"/>
      <c r="L613" s="138"/>
      <c r="M613" s="138"/>
      <c r="N613" s="138"/>
      <c r="O613" s="138"/>
    </row>
    <row r="614" spans="6:15" hidden="1" x14ac:dyDescent="0.25">
      <c r="F614" s="135"/>
      <c r="G614" s="134"/>
      <c r="H614" s="136"/>
      <c r="I614" s="133"/>
      <c r="J614" s="138"/>
      <c r="K614" s="138"/>
      <c r="L614" s="138"/>
      <c r="M614" s="138"/>
      <c r="N614" s="138"/>
      <c r="O614" s="138"/>
    </row>
    <row r="615" spans="6:15" hidden="1" x14ac:dyDescent="0.25">
      <c r="F615" s="135"/>
      <c r="G615" s="134"/>
      <c r="H615" s="136"/>
      <c r="I615" s="133"/>
      <c r="J615" s="138"/>
      <c r="K615" s="138"/>
      <c r="L615" s="138"/>
      <c r="M615" s="138"/>
      <c r="N615" s="138"/>
      <c r="O615" s="138"/>
    </row>
    <row r="616" spans="6:15" hidden="1" x14ac:dyDescent="0.25">
      <c r="F616" s="135"/>
      <c r="G616" s="134"/>
      <c r="H616" s="136"/>
      <c r="I616" s="133"/>
      <c r="J616" s="138"/>
      <c r="K616" s="138"/>
      <c r="L616" s="138"/>
      <c r="M616" s="138"/>
      <c r="N616" s="138"/>
      <c r="O616" s="138"/>
    </row>
    <row r="617" spans="6:15" hidden="1" x14ac:dyDescent="0.25">
      <c r="F617" s="135"/>
      <c r="G617" s="134"/>
      <c r="H617" s="136"/>
      <c r="I617" s="133"/>
      <c r="J617" s="138"/>
      <c r="K617" s="138"/>
      <c r="L617" s="138"/>
      <c r="M617" s="138"/>
      <c r="N617" s="138"/>
      <c r="O617" s="138"/>
    </row>
    <row r="618" spans="6:15" hidden="1" x14ac:dyDescent="0.25">
      <c r="F618" s="135"/>
      <c r="G618" s="134"/>
      <c r="H618" s="136"/>
      <c r="I618" s="133"/>
      <c r="J618" s="138"/>
      <c r="K618" s="138"/>
      <c r="L618" s="138"/>
      <c r="M618" s="138"/>
      <c r="N618" s="138"/>
      <c r="O618" s="138"/>
    </row>
    <row r="619" spans="6:15" hidden="1" x14ac:dyDescent="0.25">
      <c r="F619" s="135"/>
      <c r="G619" s="134"/>
      <c r="H619" s="136"/>
      <c r="I619" s="133"/>
      <c r="J619" s="138"/>
      <c r="K619" s="138"/>
      <c r="L619" s="138"/>
      <c r="M619" s="138"/>
      <c r="N619" s="138"/>
      <c r="O619" s="138"/>
    </row>
    <row r="620" spans="6:15" hidden="1" x14ac:dyDescent="0.25">
      <c r="F620" s="135"/>
      <c r="G620" s="134"/>
      <c r="H620" s="136"/>
      <c r="I620" s="133"/>
      <c r="J620" s="138"/>
      <c r="K620" s="138"/>
      <c r="L620" s="138"/>
      <c r="M620" s="138"/>
      <c r="N620" s="138"/>
      <c r="O620" s="138"/>
    </row>
    <row r="621" spans="6:15" hidden="1" x14ac:dyDescent="0.25">
      <c r="F621" s="135"/>
      <c r="G621" s="134"/>
      <c r="H621" s="136"/>
      <c r="I621" s="133"/>
      <c r="J621" s="138"/>
      <c r="K621" s="138"/>
      <c r="L621" s="138"/>
      <c r="M621" s="138"/>
      <c r="N621" s="138"/>
      <c r="O621" s="138"/>
    </row>
    <row r="622" spans="6:15" hidden="1" x14ac:dyDescent="0.25">
      <c r="F622" s="135"/>
      <c r="G622" s="134"/>
      <c r="H622" s="136"/>
      <c r="I622" s="133"/>
      <c r="J622" s="138"/>
      <c r="K622" s="138"/>
      <c r="L622" s="138"/>
      <c r="M622" s="138"/>
      <c r="N622" s="138"/>
      <c r="O622" s="138"/>
    </row>
    <row r="623" spans="6:15" hidden="1" x14ac:dyDescent="0.25">
      <c r="F623" s="135"/>
      <c r="G623" s="134"/>
      <c r="H623" s="136"/>
      <c r="I623" s="133"/>
      <c r="J623" s="138"/>
      <c r="K623" s="138"/>
      <c r="L623" s="138"/>
      <c r="M623" s="138"/>
      <c r="N623" s="138"/>
      <c r="O623" s="138"/>
    </row>
    <row r="624" spans="6:15" hidden="1" x14ac:dyDescent="0.25">
      <c r="F624" s="135"/>
      <c r="G624" s="134"/>
      <c r="H624" s="136"/>
      <c r="I624" s="133"/>
      <c r="J624" s="138"/>
      <c r="K624" s="138"/>
      <c r="L624" s="138"/>
      <c r="M624" s="138"/>
      <c r="N624" s="138"/>
      <c r="O624" s="138"/>
    </row>
    <row r="625" spans="6:15" hidden="1" x14ac:dyDescent="0.25">
      <c r="F625" s="135"/>
      <c r="G625" s="134"/>
      <c r="H625" s="136"/>
      <c r="I625" s="133"/>
      <c r="J625" s="138"/>
      <c r="K625" s="138"/>
      <c r="L625" s="138"/>
      <c r="M625" s="138"/>
      <c r="N625" s="138"/>
      <c r="O625" s="138"/>
    </row>
    <row r="626" spans="6:15" hidden="1" x14ac:dyDescent="0.25">
      <c r="G626" s="134"/>
      <c r="H626" s="136"/>
      <c r="I626" s="133"/>
      <c r="J626" s="138"/>
      <c r="K626" s="138"/>
      <c r="L626" s="138"/>
      <c r="M626" s="138"/>
      <c r="N626" s="138"/>
      <c r="O626" s="138"/>
    </row>
    <row r="627" spans="6:15" hidden="1" x14ac:dyDescent="0.25">
      <c r="G627" s="134"/>
      <c r="H627" s="136"/>
      <c r="I627" s="133"/>
      <c r="J627" s="138"/>
      <c r="K627" s="138"/>
      <c r="L627" s="138"/>
      <c r="M627" s="138"/>
      <c r="N627" s="138"/>
      <c r="O627" s="138"/>
    </row>
    <row r="628" spans="6:15" hidden="1" x14ac:dyDescent="0.25">
      <c r="G628" s="134"/>
      <c r="H628" s="136"/>
      <c r="I628" s="133"/>
      <c r="J628" s="138"/>
      <c r="K628" s="138"/>
      <c r="L628" s="138"/>
      <c r="M628" s="138"/>
      <c r="N628" s="138"/>
      <c r="O628" s="138"/>
    </row>
    <row r="629" spans="6:15" hidden="1" x14ac:dyDescent="0.25">
      <c r="G629" s="134"/>
      <c r="H629" s="136"/>
      <c r="I629" s="133"/>
      <c r="J629" s="138"/>
      <c r="K629" s="138"/>
      <c r="L629" s="138"/>
      <c r="M629" s="138"/>
      <c r="N629" s="138"/>
      <c r="O629" s="138"/>
    </row>
    <row r="630" spans="6:15" hidden="1" x14ac:dyDescent="0.25">
      <c r="G630" s="134"/>
      <c r="H630" s="136"/>
      <c r="I630" s="133"/>
      <c r="J630" s="138"/>
      <c r="K630" s="138"/>
      <c r="L630" s="138"/>
      <c r="M630" s="138"/>
      <c r="N630" s="138"/>
      <c r="O630" s="138"/>
    </row>
    <row r="631" spans="6:15" hidden="1" x14ac:dyDescent="0.25">
      <c r="G631" s="134"/>
      <c r="H631" s="136"/>
      <c r="I631" s="133"/>
      <c r="J631" s="138"/>
      <c r="K631" s="138"/>
      <c r="L631" s="138"/>
      <c r="M631" s="138"/>
      <c r="N631" s="138"/>
      <c r="O631" s="138"/>
    </row>
    <row r="632" spans="6:15" hidden="1" x14ac:dyDescent="0.25">
      <c r="G632" s="134"/>
      <c r="H632" s="136"/>
      <c r="I632" s="133"/>
      <c r="J632" s="138"/>
      <c r="K632" s="138"/>
      <c r="L632" s="138"/>
      <c r="M632" s="138"/>
      <c r="N632" s="138"/>
      <c r="O632" s="138"/>
    </row>
    <row r="633" spans="6:15" hidden="1" x14ac:dyDescent="0.25">
      <c r="G633" s="134"/>
      <c r="H633" s="136"/>
      <c r="I633" s="133"/>
      <c r="J633" s="138"/>
      <c r="K633" s="138"/>
      <c r="L633" s="138"/>
      <c r="M633" s="138"/>
      <c r="N633" s="138"/>
      <c r="O633" s="138"/>
    </row>
    <row r="634" spans="6:15" hidden="1" x14ac:dyDescent="0.25">
      <c r="G634" s="134"/>
      <c r="H634" s="136"/>
      <c r="I634" s="133"/>
      <c r="J634" s="138"/>
      <c r="K634" s="138"/>
      <c r="L634" s="138"/>
      <c r="M634" s="138"/>
      <c r="N634" s="138"/>
      <c r="O634" s="138"/>
    </row>
    <row r="635" spans="6:15" hidden="1" x14ac:dyDescent="0.25">
      <c r="G635" s="134"/>
      <c r="H635" s="136"/>
      <c r="I635" s="133"/>
      <c r="J635" s="138"/>
      <c r="K635" s="138"/>
      <c r="L635" s="138"/>
      <c r="M635" s="138"/>
      <c r="N635" s="138"/>
      <c r="O635" s="138"/>
    </row>
    <row r="636" spans="6:15" hidden="1" x14ac:dyDescent="0.25">
      <c r="G636" s="134"/>
      <c r="H636" s="136"/>
      <c r="I636" s="133"/>
      <c r="J636" s="138"/>
      <c r="K636" s="138"/>
      <c r="L636" s="138"/>
      <c r="M636" s="138"/>
      <c r="N636" s="138"/>
      <c r="O636" s="138"/>
    </row>
    <row r="637" spans="6:15" hidden="1" x14ac:dyDescent="0.25">
      <c r="G637" s="134"/>
      <c r="H637" s="136"/>
      <c r="I637" s="133"/>
      <c r="J637" s="138"/>
      <c r="K637" s="138"/>
      <c r="L637" s="138"/>
      <c r="M637" s="138"/>
      <c r="N637" s="138"/>
      <c r="O637" s="138"/>
    </row>
    <row r="638" spans="6:15" hidden="1" x14ac:dyDescent="0.25">
      <c r="G638" s="134"/>
      <c r="H638" s="136"/>
      <c r="I638" s="133"/>
      <c r="J638" s="138"/>
      <c r="K638" s="138"/>
      <c r="L638" s="138"/>
      <c r="M638" s="138"/>
      <c r="N638" s="138"/>
      <c r="O638" s="138"/>
    </row>
    <row r="639" spans="6:15" hidden="1" x14ac:dyDescent="0.25">
      <c r="G639" s="134"/>
      <c r="H639" s="136"/>
      <c r="I639" s="133"/>
      <c r="J639" s="138"/>
      <c r="K639" s="138"/>
      <c r="L639" s="138"/>
      <c r="M639" s="138"/>
      <c r="N639" s="138"/>
      <c r="O639" s="138"/>
    </row>
    <row r="640" spans="6:15" hidden="1" x14ac:dyDescent="0.25">
      <c r="G640" s="134"/>
      <c r="H640" s="136"/>
      <c r="I640" s="133"/>
      <c r="J640" s="138"/>
      <c r="K640" s="138"/>
      <c r="L640" s="138"/>
      <c r="M640" s="138"/>
      <c r="N640" s="138"/>
      <c r="O640" s="138"/>
    </row>
    <row r="641" spans="7:15" hidden="1" x14ac:dyDescent="0.25">
      <c r="G641" s="134"/>
      <c r="H641" s="136"/>
      <c r="I641" s="133"/>
      <c r="J641" s="138"/>
      <c r="K641" s="138"/>
      <c r="L641" s="138"/>
      <c r="M641" s="138"/>
      <c r="N641" s="138"/>
      <c r="O641" s="138"/>
    </row>
    <row r="642" spans="7:15" hidden="1" x14ac:dyDescent="0.25">
      <c r="G642" s="134"/>
      <c r="H642" s="136"/>
      <c r="I642" s="133"/>
      <c r="J642" s="138"/>
      <c r="K642" s="138"/>
      <c r="L642" s="138"/>
      <c r="M642" s="138"/>
      <c r="N642" s="138"/>
      <c r="O642" s="138"/>
    </row>
    <row r="643" spans="7:15" hidden="1" x14ac:dyDescent="0.25">
      <c r="G643" s="134"/>
      <c r="H643" s="136"/>
      <c r="I643" s="133"/>
      <c r="J643" s="138"/>
      <c r="K643" s="138"/>
      <c r="L643" s="138"/>
      <c r="M643" s="138"/>
      <c r="N643" s="138"/>
      <c r="O643" s="138"/>
    </row>
    <row r="644" spans="7:15" hidden="1" x14ac:dyDescent="0.25">
      <c r="G644" s="134"/>
      <c r="H644" s="136"/>
      <c r="I644" s="133"/>
      <c r="J644" s="138"/>
      <c r="K644" s="138"/>
      <c r="L644" s="138"/>
      <c r="M644" s="138"/>
      <c r="N644" s="138"/>
      <c r="O644" s="138"/>
    </row>
    <row r="645" spans="7:15" hidden="1" x14ac:dyDescent="0.25">
      <c r="G645" s="134"/>
      <c r="H645" s="136"/>
      <c r="I645" s="133"/>
      <c r="J645" s="138"/>
      <c r="K645" s="138"/>
      <c r="L645" s="138"/>
      <c r="M645" s="138"/>
      <c r="N645" s="138"/>
      <c r="O645" s="138"/>
    </row>
    <row r="646" spans="7:15" hidden="1" x14ac:dyDescent="0.25">
      <c r="G646" s="134"/>
      <c r="H646" s="136"/>
      <c r="I646" s="133"/>
      <c r="J646" s="138"/>
      <c r="K646" s="138"/>
      <c r="L646" s="138"/>
      <c r="M646" s="138"/>
      <c r="N646" s="138"/>
      <c r="O646" s="138"/>
    </row>
    <row r="647" spans="7:15" hidden="1" x14ac:dyDescent="0.25">
      <c r="G647" s="134"/>
      <c r="H647" s="136"/>
      <c r="I647" s="133"/>
      <c r="J647" s="138"/>
      <c r="K647" s="138"/>
      <c r="L647" s="138"/>
      <c r="M647" s="138"/>
      <c r="N647" s="138"/>
      <c r="O647" s="138"/>
    </row>
    <row r="648" spans="7:15" hidden="1" x14ac:dyDescent="0.25">
      <c r="G648" s="134"/>
      <c r="H648" s="136"/>
      <c r="I648" s="133"/>
      <c r="J648" s="138"/>
      <c r="K648" s="138"/>
      <c r="L648" s="138"/>
      <c r="M648" s="138"/>
      <c r="N648" s="138"/>
      <c r="O648" s="138"/>
    </row>
    <row r="649" spans="7:15" hidden="1" x14ac:dyDescent="0.25">
      <c r="G649" s="134"/>
      <c r="H649" s="136"/>
      <c r="I649" s="133"/>
      <c r="J649" s="138"/>
      <c r="K649" s="138"/>
      <c r="L649" s="138"/>
      <c r="M649" s="138"/>
      <c r="N649" s="138"/>
      <c r="O649" s="138"/>
    </row>
    <row r="650" spans="7:15" hidden="1" x14ac:dyDescent="0.25">
      <c r="G650" s="134"/>
      <c r="H650" s="136"/>
      <c r="I650" s="133"/>
      <c r="J650" s="138"/>
      <c r="K650" s="138"/>
      <c r="L650" s="138"/>
      <c r="M650" s="138"/>
      <c r="N650" s="138"/>
      <c r="O650" s="138"/>
    </row>
    <row r="651" spans="7:15" hidden="1" x14ac:dyDescent="0.25">
      <c r="G651" s="134"/>
      <c r="H651" s="136"/>
      <c r="I651" s="133"/>
      <c r="J651" s="138"/>
      <c r="K651" s="138"/>
      <c r="L651" s="138"/>
      <c r="M651" s="138"/>
      <c r="N651" s="138"/>
      <c r="O651" s="138"/>
    </row>
    <row r="652" spans="7:15" hidden="1" x14ac:dyDescent="0.25">
      <c r="G652" s="134"/>
      <c r="H652" s="136"/>
      <c r="I652" s="133"/>
      <c r="J652" s="138"/>
      <c r="K652" s="138"/>
      <c r="L652" s="138"/>
      <c r="M652" s="138"/>
      <c r="N652" s="138"/>
      <c r="O652" s="138"/>
    </row>
    <row r="653" spans="7:15" hidden="1" x14ac:dyDescent="0.25">
      <c r="G653" s="134"/>
      <c r="H653" s="136"/>
      <c r="I653" s="133"/>
      <c r="J653" s="138"/>
      <c r="K653" s="138"/>
      <c r="L653" s="138"/>
      <c r="M653" s="138"/>
      <c r="N653" s="138"/>
      <c r="O653" s="138"/>
    </row>
    <row r="654" spans="7:15" hidden="1" x14ac:dyDescent="0.25">
      <c r="G654" s="134"/>
      <c r="H654" s="136"/>
      <c r="I654" s="133"/>
      <c r="J654" s="138"/>
      <c r="K654" s="138"/>
      <c r="L654" s="138"/>
      <c r="M654" s="138"/>
      <c r="N654" s="138"/>
      <c r="O654" s="138"/>
    </row>
    <row r="655" spans="7:15" hidden="1" x14ac:dyDescent="0.25">
      <c r="G655" s="134"/>
      <c r="H655" s="136"/>
      <c r="I655" s="133"/>
      <c r="J655" s="138"/>
      <c r="K655" s="138"/>
      <c r="L655" s="138"/>
      <c r="M655" s="138"/>
      <c r="N655" s="138"/>
      <c r="O655" s="138"/>
    </row>
    <row r="656" spans="7:15" hidden="1" x14ac:dyDescent="0.25">
      <c r="G656" s="134"/>
      <c r="H656" s="136"/>
      <c r="I656" s="133"/>
      <c r="J656" s="138"/>
      <c r="K656" s="138"/>
      <c r="L656" s="138"/>
      <c r="M656" s="138"/>
      <c r="N656" s="138"/>
      <c r="O656" s="138"/>
    </row>
    <row r="657" spans="7:15" hidden="1" x14ac:dyDescent="0.25">
      <c r="G657" s="134"/>
      <c r="H657" s="136"/>
      <c r="I657" s="133"/>
      <c r="J657" s="138"/>
      <c r="K657" s="138"/>
      <c r="L657" s="138"/>
      <c r="M657" s="138"/>
      <c r="N657" s="138"/>
      <c r="O657" s="138"/>
    </row>
    <row r="658" spans="7:15" hidden="1" x14ac:dyDescent="0.25">
      <c r="G658" s="134"/>
      <c r="H658" s="136"/>
      <c r="I658" s="133"/>
      <c r="J658" s="138"/>
      <c r="K658" s="138"/>
      <c r="L658" s="138"/>
      <c r="M658" s="138"/>
      <c r="N658" s="138"/>
      <c r="O658" s="138"/>
    </row>
    <row r="659" spans="7:15" hidden="1" x14ac:dyDescent="0.25">
      <c r="G659" s="134"/>
      <c r="H659" s="136"/>
      <c r="I659" s="133"/>
      <c r="J659" s="138"/>
      <c r="K659" s="138"/>
      <c r="L659" s="138"/>
      <c r="M659" s="138"/>
      <c r="N659" s="138"/>
      <c r="O659" s="138"/>
    </row>
    <row r="660" spans="7:15" hidden="1" x14ac:dyDescent="0.25">
      <c r="G660" s="134"/>
      <c r="H660" s="136"/>
      <c r="I660" s="133"/>
      <c r="J660" s="138"/>
      <c r="K660" s="138"/>
      <c r="L660" s="138"/>
      <c r="M660" s="138"/>
      <c r="N660" s="138"/>
      <c r="O660" s="138"/>
    </row>
    <row r="661" spans="7:15" hidden="1" x14ac:dyDescent="0.25">
      <c r="G661" s="134"/>
      <c r="H661" s="136"/>
      <c r="I661" s="133"/>
      <c r="J661" s="138"/>
      <c r="K661" s="138"/>
      <c r="L661" s="138"/>
      <c r="M661" s="138"/>
      <c r="N661" s="138"/>
      <c r="O661" s="138"/>
    </row>
    <row r="662" spans="7:15" hidden="1" x14ac:dyDescent="0.25">
      <c r="G662" s="134"/>
      <c r="H662" s="136"/>
      <c r="I662" s="133"/>
      <c r="J662" s="138"/>
      <c r="K662" s="138"/>
      <c r="L662" s="138"/>
      <c r="M662" s="138"/>
      <c r="N662" s="138"/>
      <c r="O662" s="138"/>
    </row>
    <row r="663" spans="7:15" hidden="1" x14ac:dyDescent="0.25">
      <c r="G663" s="134"/>
      <c r="H663" s="136"/>
      <c r="I663" s="133"/>
      <c r="J663" s="138"/>
      <c r="K663" s="138"/>
      <c r="L663" s="138"/>
      <c r="M663" s="138"/>
      <c r="N663" s="138"/>
      <c r="O663" s="138"/>
    </row>
    <row r="664" spans="7:15" hidden="1" x14ac:dyDescent="0.25">
      <c r="G664" s="134"/>
      <c r="H664" s="136"/>
      <c r="I664" s="133"/>
      <c r="J664" s="138"/>
      <c r="K664" s="138"/>
      <c r="L664" s="138"/>
      <c r="M664" s="138"/>
      <c r="N664" s="138"/>
      <c r="O664" s="138"/>
    </row>
    <row r="665" spans="7:15" hidden="1" x14ac:dyDescent="0.25">
      <c r="G665" s="134"/>
      <c r="H665" s="136"/>
      <c r="I665" s="133"/>
      <c r="J665" s="138"/>
      <c r="K665" s="138"/>
      <c r="L665" s="138"/>
      <c r="M665" s="138"/>
      <c r="N665" s="138"/>
      <c r="O665" s="138"/>
    </row>
    <row r="666" spans="7:15" hidden="1" x14ac:dyDescent="0.25">
      <c r="G666" s="134"/>
      <c r="H666" s="136"/>
      <c r="I666" s="133"/>
      <c r="J666" s="138"/>
      <c r="K666" s="138"/>
      <c r="L666" s="138"/>
      <c r="M666" s="138"/>
      <c r="N666" s="138"/>
      <c r="O666" s="138"/>
    </row>
    <row r="667" spans="7:15" hidden="1" x14ac:dyDescent="0.25">
      <c r="G667" s="134"/>
      <c r="H667" s="136"/>
      <c r="I667" s="133"/>
      <c r="J667" s="138"/>
      <c r="K667" s="138"/>
      <c r="L667" s="138"/>
      <c r="M667" s="138"/>
      <c r="N667" s="138"/>
      <c r="O667" s="138"/>
    </row>
    <row r="668" spans="7:15" hidden="1" x14ac:dyDescent="0.25">
      <c r="G668" s="134"/>
      <c r="H668" s="136"/>
      <c r="I668" s="133"/>
      <c r="J668" s="138"/>
      <c r="K668" s="138"/>
      <c r="L668" s="138"/>
      <c r="M668" s="138"/>
      <c r="N668" s="138"/>
      <c r="O668" s="138"/>
    </row>
    <row r="669" spans="7:15" hidden="1" x14ac:dyDescent="0.25">
      <c r="G669" s="134"/>
      <c r="H669" s="136"/>
      <c r="I669" s="133"/>
      <c r="J669" s="138"/>
      <c r="K669" s="138"/>
      <c r="L669" s="138"/>
      <c r="M669" s="138"/>
      <c r="N669" s="138"/>
      <c r="O669" s="138"/>
    </row>
    <row r="670" spans="7:15" hidden="1" x14ac:dyDescent="0.25">
      <c r="G670" s="134"/>
      <c r="H670" s="136"/>
      <c r="I670" s="133"/>
      <c r="J670" s="138"/>
      <c r="K670" s="138"/>
      <c r="L670" s="138"/>
      <c r="M670" s="138"/>
      <c r="N670" s="138"/>
      <c r="O670" s="138"/>
    </row>
    <row r="671" spans="7:15" hidden="1" x14ac:dyDescent="0.25">
      <c r="G671" s="134"/>
      <c r="H671" s="136"/>
      <c r="I671" s="133"/>
      <c r="J671" s="138"/>
      <c r="K671" s="138"/>
      <c r="L671" s="138"/>
      <c r="M671" s="138"/>
      <c r="N671" s="138"/>
      <c r="O671" s="138"/>
    </row>
    <row r="672" spans="7:15" hidden="1" x14ac:dyDescent="0.25">
      <c r="G672" s="134"/>
      <c r="H672" s="136"/>
      <c r="I672" s="133"/>
      <c r="J672" s="138"/>
      <c r="K672" s="138"/>
      <c r="L672" s="138"/>
      <c r="M672" s="138"/>
      <c r="N672" s="138"/>
      <c r="O672" s="138"/>
    </row>
    <row r="673" spans="7:15" hidden="1" x14ac:dyDescent="0.25">
      <c r="G673" s="134"/>
      <c r="H673" s="136"/>
      <c r="I673" s="133"/>
      <c r="J673" s="138"/>
      <c r="K673" s="138"/>
      <c r="L673" s="138"/>
      <c r="M673" s="138"/>
      <c r="N673" s="138"/>
      <c r="O673" s="138"/>
    </row>
    <row r="674" spans="7:15" hidden="1" x14ac:dyDescent="0.25">
      <c r="G674" s="134"/>
      <c r="H674" s="136"/>
      <c r="I674" s="133"/>
      <c r="J674" s="138"/>
      <c r="K674" s="138"/>
      <c r="L674" s="138"/>
      <c r="M674" s="138"/>
      <c r="N674" s="138"/>
      <c r="O674" s="138"/>
    </row>
    <row r="675" spans="7:15" hidden="1" x14ac:dyDescent="0.25">
      <c r="G675" s="134"/>
      <c r="H675" s="136"/>
      <c r="I675" s="133"/>
      <c r="J675" s="138"/>
      <c r="K675" s="138"/>
      <c r="L675" s="138"/>
      <c r="M675" s="138"/>
      <c r="N675" s="138"/>
      <c r="O675" s="138"/>
    </row>
    <row r="676" spans="7:15" hidden="1" x14ac:dyDescent="0.25">
      <c r="G676" s="134"/>
      <c r="H676" s="136"/>
      <c r="I676" s="133"/>
      <c r="J676" s="138"/>
      <c r="K676" s="138"/>
      <c r="L676" s="138"/>
      <c r="M676" s="138"/>
      <c r="N676" s="138"/>
      <c r="O676" s="138"/>
    </row>
    <row r="677" spans="7:15" hidden="1" x14ac:dyDescent="0.25">
      <c r="G677" s="134"/>
      <c r="H677" s="136"/>
      <c r="I677" s="133"/>
      <c r="J677" s="138"/>
      <c r="K677" s="138"/>
      <c r="L677" s="138"/>
      <c r="M677" s="138"/>
      <c r="N677" s="138"/>
      <c r="O677" s="138"/>
    </row>
    <row r="678" spans="7:15" hidden="1" x14ac:dyDescent="0.25">
      <c r="G678" s="134"/>
      <c r="H678" s="136"/>
      <c r="I678" s="133"/>
      <c r="J678" s="138"/>
      <c r="K678" s="138"/>
      <c r="L678" s="138"/>
      <c r="M678" s="138"/>
      <c r="N678" s="138"/>
      <c r="O678" s="138"/>
    </row>
    <row r="679" spans="7:15" hidden="1" x14ac:dyDescent="0.25">
      <c r="G679" s="134"/>
      <c r="H679" s="136"/>
      <c r="I679" s="133"/>
      <c r="J679" s="138"/>
      <c r="K679" s="138"/>
      <c r="L679" s="138"/>
      <c r="M679" s="138"/>
      <c r="N679" s="138"/>
      <c r="O679" s="138"/>
    </row>
    <row r="680" spans="7:15" hidden="1" x14ac:dyDescent="0.25">
      <c r="G680" s="134"/>
      <c r="H680" s="136"/>
      <c r="I680" s="133"/>
      <c r="J680" s="138"/>
      <c r="K680" s="138"/>
      <c r="L680" s="138"/>
      <c r="M680" s="138"/>
      <c r="N680" s="138"/>
      <c r="O680" s="138"/>
    </row>
    <row r="681" spans="7:15" hidden="1" x14ac:dyDescent="0.25">
      <c r="G681" s="134"/>
      <c r="H681" s="136"/>
      <c r="I681" s="133"/>
      <c r="J681" s="138"/>
      <c r="K681" s="138"/>
      <c r="L681" s="138"/>
      <c r="M681" s="138"/>
      <c r="N681" s="138"/>
      <c r="O681" s="138"/>
    </row>
    <row r="682" spans="7:15" hidden="1" x14ac:dyDescent="0.25">
      <c r="G682" s="134"/>
      <c r="H682" s="136"/>
      <c r="I682" s="133"/>
      <c r="J682" s="138"/>
      <c r="K682" s="138"/>
      <c r="L682" s="138"/>
      <c r="M682" s="138"/>
      <c r="N682" s="138"/>
      <c r="O682" s="138"/>
    </row>
    <row r="683" spans="7:15" hidden="1" x14ac:dyDescent="0.25">
      <c r="G683" s="134"/>
      <c r="H683" s="136"/>
      <c r="I683" s="133"/>
      <c r="J683" s="138"/>
      <c r="K683" s="138"/>
      <c r="L683" s="138"/>
      <c r="M683" s="138"/>
      <c r="N683" s="138"/>
      <c r="O683" s="138"/>
    </row>
    <row r="684" spans="7:15" hidden="1" x14ac:dyDescent="0.25">
      <c r="G684" s="134"/>
      <c r="H684" s="136"/>
      <c r="I684" s="133"/>
      <c r="J684" s="133"/>
      <c r="K684" s="133"/>
      <c r="L684" s="138"/>
      <c r="M684" s="138"/>
      <c r="N684" s="138"/>
      <c r="O684" s="138"/>
    </row>
    <row r="685" spans="7:15" hidden="1" x14ac:dyDescent="0.25">
      <c r="G685" s="134"/>
      <c r="H685" s="136"/>
      <c r="I685" s="133"/>
      <c r="J685" s="133"/>
      <c r="K685" s="133"/>
      <c r="L685" s="138"/>
      <c r="M685" s="138"/>
      <c r="N685" s="138"/>
      <c r="O685" s="138"/>
    </row>
    <row r="686" spans="7:15" hidden="1" x14ac:dyDescent="0.25">
      <c r="G686" s="134"/>
      <c r="H686" s="136"/>
      <c r="I686" s="133"/>
      <c r="J686" s="133"/>
      <c r="K686" s="133"/>
      <c r="L686" s="138"/>
      <c r="M686" s="138"/>
      <c r="N686" s="138"/>
      <c r="O686" s="138"/>
    </row>
    <row r="687" spans="7:15" hidden="1" x14ac:dyDescent="0.25">
      <c r="G687" s="134"/>
      <c r="H687" s="136"/>
      <c r="I687" s="133"/>
      <c r="J687" s="133"/>
      <c r="K687" s="133"/>
      <c r="L687" s="138"/>
      <c r="M687" s="138"/>
      <c r="N687" s="138"/>
      <c r="O687" s="138"/>
    </row>
    <row r="688" spans="7:15" hidden="1" x14ac:dyDescent="0.25">
      <c r="G688" s="134"/>
      <c r="H688" s="136"/>
      <c r="I688" s="133"/>
      <c r="J688" s="133"/>
      <c r="K688" s="133"/>
      <c r="L688" s="138"/>
      <c r="M688" s="138"/>
      <c r="N688" s="138"/>
      <c r="O688" s="138"/>
    </row>
    <row r="689" spans="7:15" hidden="1" x14ac:dyDescent="0.25">
      <c r="G689" s="134"/>
      <c r="H689" s="136"/>
      <c r="I689" s="133"/>
      <c r="J689" s="133"/>
      <c r="K689" s="133"/>
      <c r="L689" s="138"/>
      <c r="M689" s="138"/>
      <c r="N689" s="138"/>
      <c r="O689" s="138"/>
    </row>
    <row r="690" spans="7:15" hidden="1" x14ac:dyDescent="0.25">
      <c r="G690" s="134"/>
      <c r="H690" s="136"/>
      <c r="I690" s="133"/>
      <c r="J690" s="133"/>
      <c r="K690" s="133"/>
      <c r="L690" s="138"/>
      <c r="M690" s="138"/>
      <c r="N690" s="138"/>
      <c r="O690" s="138"/>
    </row>
    <row r="691" spans="7:15" hidden="1" x14ac:dyDescent="0.25">
      <c r="G691" s="134"/>
      <c r="H691" s="136"/>
      <c r="I691" s="133"/>
      <c r="J691" s="133"/>
      <c r="K691" s="133"/>
      <c r="L691" s="138"/>
      <c r="M691" s="138"/>
      <c r="N691" s="138"/>
      <c r="O691" s="138"/>
    </row>
    <row r="692" spans="7:15" hidden="1" x14ac:dyDescent="0.25">
      <c r="G692" s="134"/>
      <c r="H692" s="136"/>
      <c r="I692" s="133"/>
      <c r="J692" s="133"/>
      <c r="K692" s="133"/>
      <c r="L692" s="138"/>
      <c r="M692" s="138"/>
      <c r="N692" s="138"/>
      <c r="O692" s="138"/>
    </row>
    <row r="693" spans="7:15" hidden="1" x14ac:dyDescent="0.25">
      <c r="G693" s="134"/>
      <c r="H693" s="136"/>
      <c r="I693" s="133"/>
      <c r="J693" s="133"/>
      <c r="K693" s="133"/>
      <c r="L693" s="138"/>
      <c r="M693" s="138"/>
      <c r="N693" s="138"/>
      <c r="O693" s="138"/>
    </row>
    <row r="694" spans="7:15" hidden="1" x14ac:dyDescent="0.25">
      <c r="G694" s="134"/>
      <c r="H694" s="136"/>
      <c r="I694" s="133"/>
      <c r="J694" s="133"/>
      <c r="K694" s="133"/>
      <c r="L694" s="138"/>
      <c r="M694" s="138"/>
      <c r="N694" s="138"/>
      <c r="O694" s="138"/>
    </row>
    <row r="695" spans="7:15" hidden="1" x14ac:dyDescent="0.25">
      <c r="G695" s="134"/>
      <c r="H695" s="136"/>
      <c r="I695" s="133"/>
      <c r="J695" s="133"/>
      <c r="K695" s="133"/>
      <c r="L695" s="138"/>
      <c r="M695" s="138"/>
      <c r="N695" s="138"/>
      <c r="O695" s="138"/>
    </row>
    <row r="696" spans="7:15" hidden="1" x14ac:dyDescent="0.25">
      <c r="G696" s="134"/>
      <c r="H696" s="136"/>
      <c r="I696" s="133"/>
      <c r="J696" s="133"/>
      <c r="K696" s="133"/>
      <c r="L696" s="138"/>
      <c r="M696" s="138"/>
      <c r="N696" s="138"/>
      <c r="O696" s="138"/>
    </row>
    <row r="697" spans="7:15" hidden="1" x14ac:dyDescent="0.25">
      <c r="G697" s="134"/>
      <c r="H697" s="136"/>
      <c r="I697" s="133"/>
      <c r="J697" s="133"/>
      <c r="K697" s="133"/>
      <c r="L697" s="138"/>
      <c r="M697" s="138"/>
      <c r="N697" s="138"/>
      <c r="O697" s="138"/>
    </row>
    <row r="698" spans="7:15" hidden="1" x14ac:dyDescent="0.25">
      <c r="G698" s="134"/>
      <c r="H698" s="136"/>
      <c r="I698" s="133"/>
      <c r="J698" s="133"/>
      <c r="K698" s="133"/>
      <c r="L698" s="138"/>
      <c r="M698" s="138"/>
      <c r="N698" s="138"/>
      <c r="O698" s="138"/>
    </row>
    <row r="699" spans="7:15" hidden="1" x14ac:dyDescent="0.25">
      <c r="G699" s="134"/>
      <c r="H699" s="136"/>
      <c r="I699" s="133"/>
      <c r="J699" s="133"/>
      <c r="K699" s="133"/>
      <c r="L699" s="138"/>
      <c r="M699" s="138"/>
      <c r="N699" s="138"/>
      <c r="O699" s="138"/>
    </row>
    <row r="700" spans="7:15" hidden="1" x14ac:dyDescent="0.25">
      <c r="G700" s="134"/>
      <c r="H700" s="136"/>
      <c r="I700" s="133"/>
      <c r="J700" s="133"/>
      <c r="K700" s="133"/>
      <c r="L700" s="138"/>
      <c r="M700" s="138"/>
      <c r="N700" s="138"/>
      <c r="O700" s="138"/>
    </row>
    <row r="701" spans="7:15" hidden="1" x14ac:dyDescent="0.25">
      <c r="G701" s="134"/>
      <c r="H701" s="136"/>
      <c r="I701" s="133"/>
      <c r="J701" s="133"/>
      <c r="K701" s="133"/>
      <c r="L701" s="138"/>
      <c r="M701" s="138"/>
      <c r="N701" s="138"/>
      <c r="O701" s="138"/>
    </row>
    <row r="702" spans="7:15" hidden="1" x14ac:dyDescent="0.25">
      <c r="G702" s="134"/>
      <c r="H702" s="136"/>
      <c r="I702" s="133"/>
      <c r="J702" s="133"/>
      <c r="K702" s="133"/>
      <c r="L702" s="138"/>
      <c r="M702" s="138"/>
      <c r="N702" s="138"/>
      <c r="O702" s="138"/>
    </row>
    <row r="703" spans="7:15" hidden="1" x14ac:dyDescent="0.25">
      <c r="G703" s="134"/>
      <c r="H703" s="136"/>
      <c r="I703" s="133"/>
      <c r="J703" s="133"/>
      <c r="K703" s="133"/>
      <c r="L703" s="138"/>
      <c r="M703" s="138"/>
      <c r="N703" s="138"/>
      <c r="O703" s="138"/>
    </row>
    <row r="704" spans="7:15" hidden="1" x14ac:dyDescent="0.25">
      <c r="G704" s="134"/>
      <c r="H704" s="136"/>
      <c r="I704" s="133"/>
      <c r="J704" s="133"/>
      <c r="K704" s="133"/>
      <c r="L704" s="138"/>
      <c r="M704" s="138"/>
      <c r="N704" s="138"/>
      <c r="O704" s="138"/>
    </row>
    <row r="705" spans="7:15" hidden="1" x14ac:dyDescent="0.25">
      <c r="G705" s="134"/>
      <c r="H705" s="136"/>
      <c r="I705" s="133"/>
      <c r="J705" s="133"/>
      <c r="K705" s="133"/>
      <c r="L705" s="138"/>
      <c r="M705" s="138"/>
      <c r="N705" s="138"/>
      <c r="O705" s="138"/>
    </row>
    <row r="706" spans="7:15" hidden="1" x14ac:dyDescent="0.25">
      <c r="G706" s="134"/>
      <c r="H706" s="136"/>
      <c r="I706" s="133"/>
      <c r="J706" s="133"/>
      <c r="K706" s="133"/>
      <c r="L706" s="138"/>
      <c r="M706" s="138"/>
      <c r="N706" s="138"/>
      <c r="O706" s="138"/>
    </row>
    <row r="707" spans="7:15" hidden="1" x14ac:dyDescent="0.25">
      <c r="G707" s="134"/>
      <c r="H707" s="136"/>
      <c r="I707" s="133"/>
      <c r="J707" s="133"/>
      <c r="K707" s="133"/>
      <c r="L707" s="138"/>
      <c r="M707" s="138"/>
      <c r="N707" s="138"/>
      <c r="O707" s="138"/>
    </row>
    <row r="708" spans="7:15" hidden="1" x14ac:dyDescent="0.25">
      <c r="G708" s="134"/>
      <c r="H708" s="136"/>
      <c r="I708" s="133"/>
      <c r="J708" s="133"/>
      <c r="K708" s="133"/>
      <c r="L708" s="138"/>
      <c r="M708" s="138"/>
      <c r="N708" s="138"/>
      <c r="O708" s="138"/>
    </row>
    <row r="709" spans="7:15" hidden="1" x14ac:dyDescent="0.25">
      <c r="G709" s="134"/>
      <c r="H709" s="136"/>
      <c r="I709" s="133"/>
      <c r="J709" s="133"/>
      <c r="K709" s="133"/>
      <c r="L709" s="138"/>
      <c r="M709" s="138"/>
      <c r="N709" s="138"/>
      <c r="O709" s="138"/>
    </row>
    <row r="710" spans="7:15" hidden="1" x14ac:dyDescent="0.25">
      <c r="G710" s="134"/>
      <c r="H710" s="136"/>
      <c r="I710" s="133"/>
      <c r="J710" s="133"/>
      <c r="K710" s="133"/>
      <c r="L710" s="138"/>
      <c r="M710" s="138"/>
      <c r="N710" s="138"/>
      <c r="O710" s="138"/>
    </row>
    <row r="711" spans="7:15" hidden="1" x14ac:dyDescent="0.25">
      <c r="G711" s="134"/>
      <c r="H711" s="136"/>
      <c r="I711" s="133"/>
      <c r="J711" s="133"/>
      <c r="K711" s="133"/>
      <c r="L711" s="138"/>
      <c r="M711" s="138"/>
      <c r="N711" s="138"/>
      <c r="O711" s="138"/>
    </row>
    <row r="712" spans="7:15" hidden="1" x14ac:dyDescent="0.25">
      <c r="G712" s="134"/>
      <c r="H712" s="136"/>
      <c r="I712" s="133"/>
      <c r="J712" s="133"/>
      <c r="K712" s="133"/>
      <c r="L712" s="138"/>
      <c r="M712" s="138"/>
      <c r="N712" s="138"/>
      <c r="O712" s="138"/>
    </row>
    <row r="713" spans="7:15" hidden="1" x14ac:dyDescent="0.25">
      <c r="G713" s="134"/>
      <c r="H713" s="136"/>
      <c r="I713" s="133"/>
      <c r="J713" s="133"/>
      <c r="K713" s="133"/>
      <c r="L713" s="138"/>
      <c r="M713" s="138"/>
      <c r="N713" s="138"/>
      <c r="O713" s="138"/>
    </row>
    <row r="714" spans="7:15" hidden="1" x14ac:dyDescent="0.25">
      <c r="G714" s="134"/>
      <c r="H714" s="136"/>
      <c r="I714" s="133"/>
      <c r="J714" s="133"/>
      <c r="K714" s="133"/>
      <c r="L714" s="138"/>
      <c r="M714" s="138"/>
      <c r="N714" s="138"/>
      <c r="O714" s="138"/>
    </row>
    <row r="715" spans="7:15" hidden="1" x14ac:dyDescent="0.25">
      <c r="G715" s="134"/>
      <c r="H715" s="136"/>
      <c r="I715" s="133"/>
      <c r="J715" s="133"/>
      <c r="K715" s="133"/>
      <c r="L715" s="138"/>
      <c r="M715" s="138"/>
      <c r="N715" s="138"/>
      <c r="O715" s="138"/>
    </row>
    <row r="716" spans="7:15" hidden="1" x14ac:dyDescent="0.25">
      <c r="G716" s="134"/>
      <c r="H716" s="136"/>
      <c r="I716" s="133"/>
      <c r="J716" s="133"/>
      <c r="K716" s="133"/>
      <c r="L716" s="138"/>
      <c r="M716" s="138"/>
      <c r="N716" s="138"/>
      <c r="O716" s="138"/>
    </row>
    <row r="717" spans="7:15" hidden="1" x14ac:dyDescent="0.25">
      <c r="G717" s="134"/>
      <c r="H717" s="136"/>
      <c r="I717" s="133"/>
      <c r="J717" s="133"/>
      <c r="K717" s="133"/>
      <c r="L717" s="138"/>
      <c r="M717" s="138"/>
      <c r="N717" s="138"/>
      <c r="O717" s="138"/>
    </row>
    <row r="718" spans="7:15" hidden="1" x14ac:dyDescent="0.25">
      <c r="G718" s="134"/>
      <c r="H718" s="136"/>
      <c r="I718" s="133"/>
      <c r="J718" s="133"/>
      <c r="K718" s="133"/>
      <c r="L718" s="138"/>
      <c r="M718" s="138"/>
      <c r="N718" s="138"/>
      <c r="O718" s="138"/>
    </row>
    <row r="719" spans="7:15" hidden="1" x14ac:dyDescent="0.25">
      <c r="G719" s="134"/>
      <c r="H719" s="136"/>
      <c r="I719" s="133"/>
      <c r="J719" s="133"/>
      <c r="K719" s="133"/>
      <c r="L719" s="138"/>
      <c r="M719" s="138"/>
      <c r="N719" s="138"/>
      <c r="O719" s="138"/>
    </row>
    <row r="720" spans="7:15" hidden="1" x14ac:dyDescent="0.25">
      <c r="G720" s="134"/>
      <c r="H720" s="136"/>
      <c r="I720" s="133"/>
      <c r="J720" s="133"/>
      <c r="K720" s="133"/>
      <c r="L720" s="138"/>
      <c r="M720" s="138"/>
      <c r="N720" s="138"/>
      <c r="O720" s="138"/>
    </row>
    <row r="721" spans="7:15" hidden="1" x14ac:dyDescent="0.25">
      <c r="G721" s="134"/>
      <c r="H721" s="136"/>
      <c r="I721" s="133"/>
      <c r="J721" s="133"/>
      <c r="K721" s="133"/>
      <c r="L721" s="138"/>
      <c r="M721" s="138"/>
      <c r="N721" s="138"/>
      <c r="O721" s="138"/>
    </row>
    <row r="722" spans="7:15" hidden="1" x14ac:dyDescent="0.25">
      <c r="G722" s="134"/>
      <c r="H722" s="136"/>
      <c r="I722" s="133"/>
      <c r="J722" s="133"/>
      <c r="K722" s="133"/>
      <c r="L722" s="138"/>
      <c r="M722" s="138"/>
      <c r="N722" s="138"/>
      <c r="O722" s="138"/>
    </row>
    <row r="723" spans="7:15" hidden="1" x14ac:dyDescent="0.25">
      <c r="G723" s="134"/>
      <c r="H723" s="136"/>
      <c r="I723" s="133"/>
      <c r="J723" s="133"/>
      <c r="K723" s="133"/>
      <c r="L723" s="138"/>
      <c r="M723" s="138"/>
      <c r="N723" s="138"/>
      <c r="O723" s="138"/>
    </row>
    <row r="724" spans="7:15" hidden="1" x14ac:dyDescent="0.25">
      <c r="G724" s="134"/>
      <c r="H724" s="136"/>
      <c r="I724" s="133"/>
      <c r="J724" s="133"/>
      <c r="K724" s="133"/>
      <c r="L724" s="138"/>
      <c r="M724" s="138"/>
      <c r="N724" s="138"/>
      <c r="O724" s="138"/>
    </row>
    <row r="725" spans="7:15" hidden="1" x14ac:dyDescent="0.25">
      <c r="G725" s="134"/>
      <c r="H725" s="136"/>
      <c r="I725" s="133"/>
      <c r="J725" s="133"/>
      <c r="K725" s="133"/>
      <c r="L725" s="138"/>
      <c r="M725" s="138"/>
      <c r="N725" s="138"/>
      <c r="O725" s="138"/>
    </row>
    <row r="726" spans="7:15" hidden="1" x14ac:dyDescent="0.25">
      <c r="G726" s="134"/>
      <c r="H726" s="136"/>
      <c r="I726" s="133"/>
      <c r="J726" s="133"/>
      <c r="K726" s="133"/>
      <c r="L726" s="138"/>
      <c r="M726" s="138"/>
      <c r="N726" s="138"/>
      <c r="O726" s="138"/>
    </row>
    <row r="727" spans="7:15" hidden="1" x14ac:dyDescent="0.25">
      <c r="G727" s="134"/>
      <c r="H727" s="136"/>
      <c r="I727" s="133"/>
      <c r="J727" s="133"/>
      <c r="K727" s="133"/>
      <c r="L727" s="138"/>
      <c r="M727" s="138"/>
      <c r="N727" s="138"/>
      <c r="O727" s="138"/>
    </row>
    <row r="728" spans="7:15" hidden="1" x14ac:dyDescent="0.25">
      <c r="G728" s="134"/>
      <c r="H728" s="136"/>
      <c r="I728" s="133"/>
      <c r="J728" s="133"/>
      <c r="K728" s="133"/>
      <c r="L728" s="138"/>
      <c r="M728" s="138"/>
      <c r="N728" s="138"/>
      <c r="O728" s="138"/>
    </row>
    <row r="729" spans="7:15" hidden="1" x14ac:dyDescent="0.25">
      <c r="G729" s="134"/>
      <c r="H729" s="136"/>
      <c r="I729" s="133"/>
      <c r="J729" s="133"/>
      <c r="K729" s="133"/>
      <c r="L729" s="138"/>
      <c r="M729" s="138"/>
      <c r="N729" s="138"/>
      <c r="O729" s="138"/>
    </row>
    <row r="730" spans="7:15" hidden="1" x14ac:dyDescent="0.25">
      <c r="G730" s="134"/>
      <c r="H730" s="136"/>
      <c r="I730" s="133"/>
      <c r="J730" s="133"/>
      <c r="K730" s="133"/>
      <c r="L730" s="138"/>
      <c r="M730" s="138"/>
      <c r="N730" s="138"/>
      <c r="O730" s="138"/>
    </row>
    <row r="731" spans="7:15" hidden="1" x14ac:dyDescent="0.25">
      <c r="G731" s="134"/>
      <c r="H731" s="136"/>
      <c r="I731" s="133"/>
      <c r="J731" s="133"/>
      <c r="K731" s="133"/>
      <c r="L731" s="138"/>
      <c r="M731" s="138"/>
      <c r="N731" s="138"/>
      <c r="O731" s="138"/>
    </row>
    <row r="732" spans="7:15" hidden="1" x14ac:dyDescent="0.25">
      <c r="G732" s="134"/>
      <c r="H732" s="136"/>
      <c r="I732" s="133"/>
      <c r="J732" s="133"/>
      <c r="K732" s="133"/>
      <c r="L732" s="138"/>
      <c r="M732" s="138"/>
      <c r="N732" s="138"/>
      <c r="O732" s="138"/>
    </row>
    <row r="733" spans="7:15" hidden="1" x14ac:dyDescent="0.25">
      <c r="G733" s="134"/>
      <c r="H733" s="136"/>
      <c r="I733" s="133"/>
      <c r="J733" s="133"/>
      <c r="K733" s="133"/>
      <c r="L733" s="138"/>
      <c r="M733" s="138"/>
      <c r="N733" s="138"/>
      <c r="O733" s="138"/>
    </row>
    <row r="734" spans="7:15" hidden="1" x14ac:dyDescent="0.25">
      <c r="G734" s="134"/>
      <c r="H734" s="136"/>
      <c r="I734" s="133"/>
      <c r="J734" s="133"/>
      <c r="K734" s="133"/>
      <c r="L734" s="138"/>
      <c r="M734" s="138"/>
      <c r="N734" s="138"/>
      <c r="O734" s="138"/>
    </row>
    <row r="735" spans="7:15" hidden="1" x14ac:dyDescent="0.25">
      <c r="G735" s="134"/>
      <c r="H735" s="136"/>
      <c r="I735" s="133"/>
      <c r="J735" s="133"/>
      <c r="K735" s="133"/>
      <c r="L735" s="138"/>
      <c r="M735" s="138"/>
      <c r="N735" s="138"/>
      <c r="O735" s="138"/>
    </row>
    <row r="736" spans="7:15" hidden="1" x14ac:dyDescent="0.25">
      <c r="G736" s="134"/>
      <c r="H736" s="136"/>
      <c r="I736" s="133"/>
      <c r="J736" s="133"/>
      <c r="K736" s="133"/>
      <c r="L736" s="138"/>
      <c r="M736" s="138"/>
      <c r="N736" s="138"/>
      <c r="O736" s="138"/>
    </row>
    <row r="737" spans="7:15" hidden="1" x14ac:dyDescent="0.25">
      <c r="G737" s="134"/>
      <c r="H737" s="136"/>
      <c r="I737" s="133"/>
      <c r="J737" s="133"/>
      <c r="K737" s="133"/>
      <c r="L737" s="138"/>
      <c r="M737" s="138"/>
      <c r="N737" s="138"/>
      <c r="O737" s="138"/>
    </row>
    <row r="738" spans="7:15" hidden="1" x14ac:dyDescent="0.25">
      <c r="G738" s="134"/>
      <c r="H738" s="136"/>
      <c r="I738" s="133"/>
      <c r="J738" s="133"/>
      <c r="K738" s="133"/>
      <c r="L738" s="138"/>
      <c r="M738" s="138"/>
      <c r="N738" s="138"/>
      <c r="O738" s="138"/>
    </row>
    <row r="739" spans="7:15" hidden="1" x14ac:dyDescent="0.25">
      <c r="G739" s="134"/>
      <c r="H739" s="136"/>
      <c r="I739" s="133"/>
      <c r="J739" s="133"/>
      <c r="K739" s="133"/>
      <c r="L739" s="138"/>
      <c r="M739" s="138"/>
      <c r="N739" s="138"/>
      <c r="O739" s="138"/>
    </row>
    <row r="740" spans="7:15" hidden="1" x14ac:dyDescent="0.25">
      <c r="G740" s="134"/>
      <c r="H740" s="136"/>
      <c r="I740" s="133"/>
      <c r="J740" s="133"/>
      <c r="K740" s="133"/>
      <c r="L740" s="138"/>
      <c r="M740" s="138"/>
      <c r="N740" s="138"/>
      <c r="O740" s="138"/>
    </row>
    <row r="741" spans="7:15" hidden="1" x14ac:dyDescent="0.25">
      <c r="G741" s="134"/>
      <c r="H741" s="136"/>
      <c r="I741" s="133"/>
      <c r="J741" s="133"/>
      <c r="K741" s="133"/>
      <c r="L741" s="138"/>
      <c r="M741" s="138"/>
      <c r="N741" s="138"/>
      <c r="O741" s="138"/>
    </row>
    <row r="742" spans="7:15" hidden="1" x14ac:dyDescent="0.25">
      <c r="G742" s="134"/>
      <c r="H742" s="136"/>
      <c r="I742" s="133"/>
      <c r="J742" s="133"/>
      <c r="K742" s="133"/>
      <c r="L742" s="138"/>
      <c r="M742" s="138"/>
      <c r="N742" s="138"/>
      <c r="O742" s="138"/>
    </row>
    <row r="743" spans="7:15" hidden="1" x14ac:dyDescent="0.25">
      <c r="G743" s="134"/>
      <c r="H743" s="136"/>
      <c r="I743" s="133"/>
      <c r="J743" s="133"/>
      <c r="K743" s="133"/>
      <c r="L743" s="138"/>
      <c r="M743" s="138"/>
      <c r="N743" s="138"/>
      <c r="O743" s="138"/>
    </row>
    <row r="744" spans="7:15" hidden="1" x14ac:dyDescent="0.25">
      <c r="G744" s="134"/>
      <c r="H744" s="136"/>
      <c r="I744" s="133"/>
      <c r="J744" s="133"/>
      <c r="K744" s="133"/>
      <c r="L744" s="138"/>
      <c r="M744" s="138"/>
      <c r="N744" s="138"/>
      <c r="O744" s="138"/>
    </row>
    <row r="745" spans="7:15" hidden="1" x14ac:dyDescent="0.25">
      <c r="G745" s="134"/>
      <c r="H745" s="136"/>
      <c r="I745" s="133"/>
      <c r="J745" s="133"/>
      <c r="K745" s="133"/>
      <c r="L745" s="138"/>
      <c r="M745" s="138"/>
      <c r="N745" s="138"/>
      <c r="O745" s="138"/>
    </row>
    <row r="746" spans="7:15" hidden="1" x14ac:dyDescent="0.25">
      <c r="G746" s="134"/>
      <c r="H746" s="136"/>
      <c r="I746" s="133"/>
      <c r="J746" s="133"/>
      <c r="K746" s="133"/>
      <c r="L746" s="138"/>
      <c r="M746" s="138"/>
      <c r="N746" s="138"/>
      <c r="O746" s="138"/>
    </row>
    <row r="747" spans="7:15" hidden="1" x14ac:dyDescent="0.25">
      <c r="G747" s="134"/>
      <c r="H747" s="136"/>
      <c r="I747" s="133"/>
      <c r="J747" s="133"/>
      <c r="K747" s="133"/>
      <c r="L747" s="138"/>
      <c r="M747" s="138"/>
      <c r="N747" s="138"/>
      <c r="O747" s="138"/>
    </row>
    <row r="748" spans="7:15" hidden="1" x14ac:dyDescent="0.25">
      <c r="G748" s="134"/>
      <c r="H748" s="136"/>
      <c r="I748" s="133"/>
      <c r="J748" s="133"/>
      <c r="K748" s="133"/>
      <c r="L748" s="138"/>
      <c r="M748" s="138"/>
      <c r="N748" s="138"/>
      <c r="O748" s="138"/>
    </row>
    <row r="749" spans="7:15" hidden="1" x14ac:dyDescent="0.25">
      <c r="G749" s="134"/>
      <c r="H749" s="136"/>
      <c r="I749" s="133"/>
      <c r="J749" s="133"/>
      <c r="K749" s="133"/>
      <c r="L749" s="138"/>
      <c r="M749" s="138"/>
      <c r="N749" s="138"/>
      <c r="O749" s="138"/>
    </row>
    <row r="750" spans="7:15" hidden="1" x14ac:dyDescent="0.25">
      <c r="G750" s="134"/>
      <c r="H750" s="136"/>
      <c r="I750" s="133"/>
      <c r="J750" s="133"/>
      <c r="K750" s="133"/>
      <c r="L750" s="138"/>
      <c r="M750" s="138"/>
      <c r="N750" s="138"/>
      <c r="O750" s="138"/>
    </row>
    <row r="751" spans="7:15" hidden="1" x14ac:dyDescent="0.25">
      <c r="G751" s="134"/>
      <c r="H751" s="136"/>
      <c r="I751" s="133"/>
      <c r="J751" s="133"/>
      <c r="K751" s="133"/>
      <c r="L751" s="138"/>
      <c r="M751" s="138"/>
      <c r="N751" s="138"/>
      <c r="O751" s="138"/>
    </row>
    <row r="752" spans="7:15" hidden="1" x14ac:dyDescent="0.25">
      <c r="G752" s="134"/>
      <c r="H752" s="136"/>
      <c r="I752" s="133"/>
      <c r="J752" s="133"/>
      <c r="K752" s="133"/>
      <c r="L752" s="138"/>
      <c r="M752" s="138"/>
      <c r="N752" s="138"/>
      <c r="O752" s="138"/>
    </row>
    <row r="753" spans="7:15" hidden="1" x14ac:dyDescent="0.25">
      <c r="G753" s="134"/>
      <c r="H753" s="136"/>
      <c r="I753" s="133"/>
      <c r="J753" s="133"/>
      <c r="K753" s="133"/>
      <c r="L753" s="138"/>
      <c r="M753" s="138"/>
      <c r="N753" s="138"/>
      <c r="O753" s="138"/>
    </row>
    <row r="754" spans="7:15" hidden="1" x14ac:dyDescent="0.25">
      <c r="G754" s="134"/>
      <c r="H754" s="136"/>
      <c r="I754" s="133"/>
      <c r="J754" s="133"/>
      <c r="K754" s="133"/>
      <c r="L754" s="138"/>
      <c r="M754" s="138"/>
      <c r="N754" s="138"/>
      <c r="O754" s="138"/>
    </row>
    <row r="755" spans="7:15" hidden="1" x14ac:dyDescent="0.25">
      <c r="G755" s="134"/>
      <c r="H755" s="136"/>
      <c r="I755" s="133"/>
      <c r="J755" s="133"/>
      <c r="K755" s="133"/>
      <c r="L755" s="138"/>
      <c r="M755" s="138"/>
      <c r="N755" s="138"/>
      <c r="O755" s="138"/>
    </row>
    <row r="756" spans="7:15" hidden="1" x14ac:dyDescent="0.25">
      <c r="G756" s="134"/>
      <c r="H756" s="136"/>
      <c r="I756" s="133"/>
      <c r="J756" s="133"/>
      <c r="K756" s="133"/>
      <c r="L756" s="138"/>
      <c r="M756" s="138"/>
      <c r="N756" s="138"/>
      <c r="O756" s="138"/>
    </row>
    <row r="757" spans="7:15" hidden="1" x14ac:dyDescent="0.25">
      <c r="G757" s="134"/>
      <c r="H757" s="136"/>
      <c r="I757" s="133"/>
      <c r="J757" s="133"/>
      <c r="K757" s="133"/>
      <c r="L757" s="138"/>
      <c r="M757" s="138"/>
      <c r="N757" s="138"/>
      <c r="O757" s="138"/>
    </row>
    <row r="758" spans="7:15" hidden="1" x14ac:dyDescent="0.25">
      <c r="G758" s="134"/>
      <c r="H758" s="136"/>
      <c r="I758" s="133"/>
      <c r="J758" s="133"/>
      <c r="K758" s="133"/>
      <c r="L758" s="138"/>
      <c r="M758" s="138"/>
      <c r="N758" s="138"/>
      <c r="O758" s="138"/>
    </row>
    <row r="759" spans="7:15" hidden="1" x14ac:dyDescent="0.25">
      <c r="G759" s="134"/>
      <c r="H759" s="136"/>
      <c r="I759" s="133"/>
      <c r="J759" s="133"/>
      <c r="K759" s="133"/>
      <c r="L759" s="138"/>
      <c r="M759" s="138"/>
      <c r="N759" s="138"/>
      <c r="O759" s="138"/>
    </row>
    <row r="760" spans="7:15" hidden="1" x14ac:dyDescent="0.25">
      <c r="G760" s="134"/>
      <c r="H760" s="136"/>
      <c r="I760" s="133"/>
      <c r="J760" s="133"/>
      <c r="K760" s="133"/>
      <c r="L760" s="138"/>
      <c r="M760" s="138"/>
      <c r="N760" s="138"/>
      <c r="O760" s="138"/>
    </row>
    <row r="761" spans="7:15" hidden="1" x14ac:dyDescent="0.25">
      <c r="G761" s="134"/>
      <c r="H761" s="136"/>
      <c r="I761" s="133"/>
      <c r="J761" s="133"/>
      <c r="K761" s="133"/>
      <c r="L761" s="138"/>
      <c r="M761" s="138"/>
      <c r="N761" s="138"/>
      <c r="O761" s="138"/>
    </row>
    <row r="762" spans="7:15" hidden="1" x14ac:dyDescent="0.25">
      <c r="G762" s="134"/>
      <c r="H762" s="136"/>
      <c r="I762" s="133"/>
      <c r="J762" s="133"/>
      <c r="K762" s="133"/>
      <c r="L762" s="138"/>
      <c r="M762" s="138"/>
      <c r="N762" s="138"/>
      <c r="O762" s="138"/>
    </row>
    <row r="763" spans="7:15" hidden="1" x14ac:dyDescent="0.25">
      <c r="G763" s="134"/>
      <c r="H763" s="136"/>
      <c r="I763" s="133"/>
      <c r="J763" s="133"/>
      <c r="K763" s="133"/>
      <c r="L763" s="138"/>
      <c r="M763" s="138"/>
      <c r="N763" s="138"/>
      <c r="O763" s="138"/>
    </row>
    <row r="764" spans="7:15" hidden="1" x14ac:dyDescent="0.25">
      <c r="G764" s="134"/>
      <c r="H764" s="136"/>
      <c r="I764" s="133"/>
      <c r="J764" s="133"/>
      <c r="K764" s="133"/>
      <c r="L764" s="138"/>
      <c r="M764" s="138"/>
      <c r="N764" s="138"/>
      <c r="O764" s="138"/>
    </row>
    <row r="765" spans="7:15" hidden="1" x14ac:dyDescent="0.25">
      <c r="G765" s="134"/>
      <c r="H765" s="136"/>
      <c r="I765" s="133"/>
      <c r="J765" s="133"/>
      <c r="K765" s="133"/>
      <c r="L765" s="138"/>
      <c r="M765" s="138"/>
      <c r="N765" s="138"/>
      <c r="O765" s="138"/>
    </row>
    <row r="766" spans="7:15" hidden="1" x14ac:dyDescent="0.25">
      <c r="G766" s="134"/>
      <c r="H766" s="136"/>
      <c r="I766" s="133"/>
      <c r="J766" s="133"/>
      <c r="K766" s="133"/>
      <c r="L766" s="138"/>
      <c r="M766" s="138"/>
      <c r="N766" s="138"/>
      <c r="O766" s="138"/>
    </row>
    <row r="767" spans="7:15" hidden="1" x14ac:dyDescent="0.25">
      <c r="G767" s="134"/>
      <c r="H767" s="136"/>
      <c r="I767" s="133"/>
      <c r="J767" s="133"/>
      <c r="K767" s="133"/>
      <c r="L767" s="138"/>
      <c r="M767" s="138"/>
      <c r="N767" s="138"/>
      <c r="O767" s="138"/>
    </row>
    <row r="768" spans="7:15" hidden="1" x14ac:dyDescent="0.25">
      <c r="G768" s="134"/>
      <c r="H768" s="136"/>
      <c r="I768" s="133"/>
      <c r="J768" s="133"/>
      <c r="K768" s="133"/>
      <c r="L768" s="138"/>
      <c r="M768" s="138"/>
      <c r="N768" s="138"/>
      <c r="O768" s="138"/>
    </row>
    <row r="769" spans="7:15" hidden="1" x14ac:dyDescent="0.25">
      <c r="G769" s="134"/>
      <c r="H769" s="136"/>
      <c r="I769" s="133"/>
      <c r="J769" s="133"/>
      <c r="K769" s="133"/>
      <c r="L769" s="138"/>
      <c r="M769" s="138"/>
      <c r="N769" s="138"/>
      <c r="O769" s="138"/>
    </row>
    <row r="770" spans="7:15" hidden="1" x14ac:dyDescent="0.25">
      <c r="G770" s="134"/>
      <c r="H770" s="136"/>
      <c r="I770" s="133"/>
      <c r="J770" s="133"/>
      <c r="K770" s="133"/>
      <c r="L770" s="138"/>
      <c r="M770" s="138"/>
      <c r="N770" s="138"/>
      <c r="O770" s="138"/>
    </row>
    <row r="771" spans="7:15" hidden="1" x14ac:dyDescent="0.25">
      <c r="G771" s="134"/>
      <c r="H771" s="136"/>
      <c r="I771" s="133"/>
      <c r="J771" s="133"/>
      <c r="K771" s="133"/>
      <c r="L771" s="138"/>
      <c r="M771" s="138"/>
      <c r="N771" s="138"/>
      <c r="O771" s="138"/>
    </row>
    <row r="772" spans="7:15" hidden="1" x14ac:dyDescent="0.25">
      <c r="G772" s="134"/>
      <c r="H772" s="136"/>
      <c r="I772" s="133"/>
      <c r="J772" s="133"/>
      <c r="K772" s="133"/>
      <c r="L772" s="138"/>
      <c r="M772" s="138"/>
      <c r="N772" s="138"/>
      <c r="O772" s="138"/>
    </row>
    <row r="773" spans="7:15" hidden="1" x14ac:dyDescent="0.25">
      <c r="G773" s="134"/>
      <c r="H773" s="136"/>
      <c r="I773" s="133"/>
      <c r="J773" s="133"/>
      <c r="K773" s="133"/>
      <c r="L773" s="138"/>
      <c r="M773" s="138"/>
      <c r="N773" s="138"/>
      <c r="O773" s="138"/>
    </row>
    <row r="774" spans="7:15" hidden="1" x14ac:dyDescent="0.25">
      <c r="G774" s="134"/>
      <c r="H774" s="136"/>
      <c r="I774" s="133"/>
      <c r="J774" s="133"/>
      <c r="K774" s="133"/>
      <c r="L774" s="138"/>
      <c r="M774" s="138"/>
      <c r="N774" s="138"/>
      <c r="O774" s="138"/>
    </row>
    <row r="775" spans="7:15" hidden="1" x14ac:dyDescent="0.25">
      <c r="G775" s="134"/>
      <c r="H775" s="136"/>
      <c r="I775" s="133"/>
      <c r="J775" s="133"/>
      <c r="K775" s="133"/>
      <c r="L775" s="138"/>
      <c r="M775" s="138"/>
      <c r="N775" s="138"/>
      <c r="O775" s="138"/>
    </row>
    <row r="776" spans="7:15" hidden="1" x14ac:dyDescent="0.25">
      <c r="G776" s="134"/>
      <c r="H776" s="136"/>
      <c r="I776" s="133"/>
      <c r="J776" s="133"/>
      <c r="K776" s="133"/>
      <c r="L776" s="138"/>
      <c r="M776" s="138"/>
      <c r="N776" s="138"/>
      <c r="O776" s="138"/>
    </row>
    <row r="777" spans="7:15" hidden="1" x14ac:dyDescent="0.25">
      <c r="G777" s="134"/>
      <c r="H777" s="136"/>
      <c r="I777" s="133"/>
      <c r="J777" s="133"/>
      <c r="K777" s="133"/>
      <c r="L777" s="138"/>
      <c r="M777" s="138"/>
      <c r="N777" s="138"/>
      <c r="O777" s="138"/>
    </row>
    <row r="778" spans="7:15" hidden="1" x14ac:dyDescent="0.25">
      <c r="G778" s="134"/>
      <c r="H778" s="136"/>
      <c r="I778" s="133"/>
      <c r="J778" s="133"/>
      <c r="K778" s="133"/>
      <c r="L778" s="138"/>
      <c r="M778" s="138"/>
      <c r="N778" s="138"/>
      <c r="O778" s="138"/>
    </row>
    <row r="779" spans="7:15" hidden="1" x14ac:dyDescent="0.25">
      <c r="G779" s="134"/>
      <c r="H779" s="136"/>
      <c r="I779" s="133"/>
      <c r="J779" s="133"/>
      <c r="K779" s="133"/>
      <c r="L779" s="138"/>
      <c r="M779" s="138"/>
      <c r="N779" s="138"/>
      <c r="O779" s="138"/>
    </row>
    <row r="780" spans="7:15" hidden="1" x14ac:dyDescent="0.25">
      <c r="G780" s="134"/>
      <c r="H780" s="136"/>
      <c r="I780" s="133"/>
      <c r="J780" s="133"/>
      <c r="K780" s="133"/>
      <c r="L780" s="138"/>
      <c r="M780" s="138"/>
      <c r="N780" s="138"/>
      <c r="O780" s="138"/>
    </row>
    <row r="781" spans="7:15" hidden="1" x14ac:dyDescent="0.25">
      <c r="G781" s="134"/>
      <c r="H781" s="136"/>
      <c r="I781" s="133"/>
      <c r="J781" s="133"/>
      <c r="K781" s="133"/>
      <c r="L781" s="138"/>
      <c r="M781" s="138"/>
      <c r="N781" s="138"/>
      <c r="O781" s="138"/>
    </row>
    <row r="782" spans="7:15" hidden="1" x14ac:dyDescent="0.25">
      <c r="G782" s="134"/>
      <c r="H782" s="136"/>
      <c r="I782" s="133"/>
      <c r="J782" s="133"/>
      <c r="K782" s="133"/>
      <c r="L782" s="138"/>
      <c r="M782" s="138"/>
      <c r="N782" s="138"/>
      <c r="O782" s="138"/>
    </row>
    <row r="783" spans="7:15" hidden="1" x14ac:dyDescent="0.25">
      <c r="G783" s="134"/>
      <c r="H783" s="136"/>
      <c r="I783" s="133"/>
      <c r="J783" s="133"/>
      <c r="K783" s="133"/>
      <c r="L783" s="138"/>
      <c r="M783" s="138"/>
      <c r="N783" s="138"/>
      <c r="O783" s="138"/>
    </row>
    <row r="784" spans="7:15" hidden="1" x14ac:dyDescent="0.25">
      <c r="G784" s="134"/>
      <c r="H784" s="136"/>
      <c r="I784" s="133"/>
      <c r="J784" s="133"/>
      <c r="K784" s="133"/>
      <c r="L784" s="138"/>
      <c r="M784" s="138"/>
      <c r="N784" s="138"/>
      <c r="O784" s="138"/>
    </row>
    <row r="785" spans="7:15" hidden="1" x14ac:dyDescent="0.25">
      <c r="G785" s="134"/>
      <c r="H785" s="136"/>
      <c r="I785" s="133"/>
      <c r="J785" s="133"/>
      <c r="K785" s="133"/>
      <c r="L785" s="138"/>
      <c r="M785" s="138"/>
      <c r="N785" s="138"/>
      <c r="O785" s="138"/>
    </row>
    <row r="786" spans="7:15" hidden="1" x14ac:dyDescent="0.25">
      <c r="G786" s="134"/>
      <c r="H786" s="136"/>
      <c r="I786" s="133"/>
      <c r="J786" s="133"/>
      <c r="K786" s="133"/>
      <c r="L786" s="138"/>
      <c r="M786" s="138"/>
      <c r="N786" s="138"/>
      <c r="O786" s="138"/>
    </row>
    <row r="787" spans="7:15" hidden="1" x14ac:dyDescent="0.25">
      <c r="G787" s="134"/>
      <c r="H787" s="136"/>
      <c r="I787" s="133"/>
      <c r="J787" s="133"/>
      <c r="K787" s="133"/>
      <c r="L787" s="138"/>
      <c r="M787" s="138"/>
      <c r="N787" s="138"/>
      <c r="O787" s="138"/>
    </row>
    <row r="788" spans="7:15" hidden="1" x14ac:dyDescent="0.25">
      <c r="G788" s="134"/>
      <c r="H788" s="136"/>
      <c r="I788" s="133"/>
      <c r="J788" s="133"/>
      <c r="K788" s="133"/>
      <c r="L788" s="138"/>
      <c r="M788" s="138"/>
      <c r="N788" s="138"/>
      <c r="O788" s="138"/>
    </row>
    <row r="789" spans="7:15" hidden="1" x14ac:dyDescent="0.25">
      <c r="G789" s="134"/>
      <c r="H789" s="136"/>
      <c r="I789" s="133"/>
      <c r="J789" s="133"/>
      <c r="K789" s="133"/>
      <c r="L789" s="138"/>
      <c r="M789" s="138"/>
      <c r="N789" s="138"/>
      <c r="O789" s="138"/>
    </row>
    <row r="790" spans="7:15" hidden="1" x14ac:dyDescent="0.25">
      <c r="G790" s="134"/>
      <c r="H790" s="136"/>
      <c r="I790" s="133"/>
      <c r="J790" s="133"/>
      <c r="K790" s="133"/>
      <c r="L790" s="138"/>
      <c r="M790" s="138"/>
      <c r="N790" s="138"/>
      <c r="O790" s="138"/>
    </row>
    <row r="791" spans="7:15" hidden="1" x14ac:dyDescent="0.25">
      <c r="G791" s="134"/>
      <c r="H791" s="136"/>
      <c r="I791" s="133"/>
      <c r="J791" s="133"/>
      <c r="K791" s="133"/>
      <c r="L791" s="138"/>
      <c r="M791" s="138"/>
      <c r="N791" s="138"/>
      <c r="O791" s="138"/>
    </row>
    <row r="792" spans="7:15" hidden="1" x14ac:dyDescent="0.25">
      <c r="G792" s="134"/>
      <c r="H792" s="136"/>
      <c r="I792" s="133"/>
      <c r="J792" s="133"/>
      <c r="K792" s="133"/>
      <c r="L792" s="138"/>
      <c r="M792" s="138"/>
      <c r="N792" s="138"/>
      <c r="O792" s="138"/>
    </row>
    <row r="793" spans="7:15" hidden="1" x14ac:dyDescent="0.25">
      <c r="G793" s="134"/>
      <c r="H793" s="136"/>
      <c r="I793" s="133"/>
      <c r="J793" s="133"/>
      <c r="K793" s="133"/>
      <c r="L793" s="138"/>
      <c r="M793" s="138"/>
      <c r="N793" s="138"/>
      <c r="O793" s="138"/>
    </row>
    <row r="794" spans="7:15" hidden="1" x14ac:dyDescent="0.25">
      <c r="G794" s="134"/>
      <c r="H794" s="136"/>
      <c r="I794" s="133"/>
      <c r="J794" s="133"/>
      <c r="K794" s="133"/>
      <c r="L794" s="138"/>
      <c r="M794" s="138"/>
      <c r="N794" s="138"/>
      <c r="O794" s="138"/>
    </row>
    <row r="795" spans="7:15" hidden="1" x14ac:dyDescent="0.25">
      <c r="G795" s="134"/>
      <c r="H795" s="136"/>
      <c r="I795" s="133"/>
      <c r="J795" s="133"/>
      <c r="K795" s="133"/>
      <c r="L795" s="138"/>
      <c r="M795" s="138"/>
      <c r="N795" s="138"/>
      <c r="O795" s="138"/>
    </row>
    <row r="796" spans="7:15" hidden="1" x14ac:dyDescent="0.25">
      <c r="G796" s="134"/>
      <c r="H796" s="136"/>
      <c r="I796" s="133"/>
      <c r="J796" s="133"/>
      <c r="K796" s="133"/>
      <c r="L796" s="138"/>
      <c r="M796" s="138"/>
      <c r="N796" s="138"/>
      <c r="O796" s="138"/>
    </row>
    <row r="797" spans="7:15" hidden="1" x14ac:dyDescent="0.25">
      <c r="G797" s="134"/>
      <c r="H797" s="136"/>
      <c r="I797" s="133"/>
      <c r="J797" s="133"/>
      <c r="K797" s="133"/>
      <c r="L797" s="138"/>
      <c r="M797" s="138"/>
      <c r="N797" s="138"/>
      <c r="O797" s="138"/>
    </row>
    <row r="798" spans="7:15" hidden="1" x14ac:dyDescent="0.25">
      <c r="G798" s="134"/>
      <c r="H798" s="136"/>
      <c r="I798" s="133"/>
      <c r="J798" s="133"/>
      <c r="K798" s="133"/>
      <c r="L798" s="138"/>
      <c r="M798" s="138"/>
      <c r="N798" s="138"/>
      <c r="O798" s="138"/>
    </row>
    <row r="799" spans="7:15" hidden="1" x14ac:dyDescent="0.25">
      <c r="G799" s="134"/>
      <c r="H799" s="136"/>
      <c r="I799" s="133"/>
      <c r="J799" s="133"/>
      <c r="K799" s="133"/>
      <c r="L799" s="138"/>
      <c r="M799" s="138"/>
      <c r="N799" s="138"/>
      <c r="O799" s="138"/>
    </row>
    <row r="800" spans="7:15" hidden="1" x14ac:dyDescent="0.25">
      <c r="G800" s="134"/>
      <c r="H800" s="136"/>
      <c r="I800" s="133"/>
      <c r="J800" s="133"/>
      <c r="K800" s="133"/>
      <c r="L800" s="138"/>
      <c r="M800" s="138"/>
      <c r="N800" s="138"/>
      <c r="O800" s="138"/>
    </row>
    <row r="801" spans="7:15" hidden="1" x14ac:dyDescent="0.25">
      <c r="G801" s="134"/>
      <c r="H801" s="136"/>
      <c r="I801" s="133"/>
      <c r="J801" s="133"/>
      <c r="K801" s="133"/>
      <c r="L801" s="138"/>
      <c r="M801" s="138"/>
      <c r="N801" s="138"/>
      <c r="O801" s="138"/>
    </row>
    <row r="802" spans="7:15" hidden="1" x14ac:dyDescent="0.25">
      <c r="G802" s="134"/>
      <c r="H802" s="136"/>
      <c r="I802" s="133"/>
      <c r="J802" s="133"/>
      <c r="K802" s="133"/>
      <c r="L802" s="138"/>
      <c r="M802" s="138"/>
      <c r="N802" s="138"/>
      <c r="O802" s="138"/>
    </row>
    <row r="803" spans="7:15" hidden="1" x14ac:dyDescent="0.25">
      <c r="G803" s="134"/>
      <c r="H803" s="136"/>
      <c r="I803" s="133"/>
      <c r="J803" s="133"/>
      <c r="K803" s="133"/>
      <c r="L803" s="138"/>
      <c r="M803" s="138"/>
      <c r="N803" s="138"/>
      <c r="O803" s="138"/>
    </row>
    <row r="804" spans="7:15" hidden="1" x14ac:dyDescent="0.25">
      <c r="G804" s="134"/>
      <c r="H804" s="136"/>
      <c r="I804" s="133"/>
      <c r="J804" s="133"/>
      <c r="K804" s="133"/>
      <c r="L804" s="138"/>
      <c r="M804" s="138"/>
      <c r="N804" s="138"/>
      <c r="O804" s="138"/>
    </row>
    <row r="805" spans="7:15" hidden="1" x14ac:dyDescent="0.25">
      <c r="G805" s="134"/>
      <c r="H805" s="136"/>
      <c r="I805" s="133"/>
      <c r="J805" s="133"/>
      <c r="K805" s="133"/>
      <c r="L805" s="138"/>
      <c r="M805" s="138"/>
      <c r="N805" s="138"/>
      <c r="O805" s="138"/>
    </row>
    <row r="806" spans="7:15" hidden="1" x14ac:dyDescent="0.25">
      <c r="G806" s="134"/>
      <c r="H806" s="136"/>
      <c r="I806" s="133"/>
      <c r="J806" s="133"/>
      <c r="K806" s="133"/>
      <c r="L806" s="138"/>
      <c r="M806" s="138"/>
      <c r="N806" s="138"/>
      <c r="O806" s="138"/>
    </row>
    <row r="807" spans="7:15" hidden="1" x14ac:dyDescent="0.25">
      <c r="G807" s="134"/>
      <c r="H807" s="136"/>
      <c r="I807" s="133"/>
      <c r="J807" s="133"/>
      <c r="K807" s="133"/>
      <c r="L807" s="138"/>
      <c r="M807" s="138"/>
      <c r="N807" s="138"/>
      <c r="O807" s="138"/>
    </row>
    <row r="808" spans="7:15" hidden="1" x14ac:dyDescent="0.25">
      <c r="G808" s="134"/>
      <c r="H808" s="136"/>
      <c r="I808" s="133"/>
      <c r="J808" s="133"/>
      <c r="K808" s="133"/>
      <c r="L808" s="138"/>
      <c r="M808" s="138"/>
      <c r="N808" s="138"/>
      <c r="O808" s="138"/>
    </row>
    <row r="809" spans="7:15" hidden="1" x14ac:dyDescent="0.25">
      <c r="G809" s="134"/>
      <c r="H809" s="136"/>
      <c r="I809" s="133"/>
      <c r="J809" s="133"/>
      <c r="K809" s="133"/>
      <c r="L809" s="138"/>
      <c r="M809" s="138"/>
      <c r="N809" s="138"/>
      <c r="O809" s="138"/>
    </row>
    <row r="810" spans="7:15" hidden="1" x14ac:dyDescent="0.25">
      <c r="G810" s="134"/>
      <c r="H810" s="136"/>
      <c r="I810" s="133"/>
      <c r="J810" s="133"/>
      <c r="K810" s="133"/>
      <c r="L810" s="138"/>
      <c r="M810" s="138"/>
      <c r="N810" s="138"/>
      <c r="O810" s="138"/>
    </row>
    <row r="811" spans="7:15" hidden="1" x14ac:dyDescent="0.25">
      <c r="G811" s="134"/>
      <c r="H811" s="136"/>
      <c r="I811" s="133"/>
      <c r="J811" s="133"/>
      <c r="K811" s="133"/>
      <c r="L811" s="138"/>
      <c r="M811" s="138"/>
      <c r="N811" s="138"/>
      <c r="O811" s="138"/>
    </row>
    <row r="812" spans="7:15" hidden="1" x14ac:dyDescent="0.25">
      <c r="G812" s="134"/>
      <c r="H812" s="136"/>
      <c r="I812" s="133"/>
      <c r="J812" s="133"/>
      <c r="K812" s="133"/>
      <c r="L812" s="138"/>
      <c r="M812" s="138"/>
      <c r="N812" s="138"/>
      <c r="O812" s="138"/>
    </row>
    <row r="813" spans="7:15" hidden="1" x14ac:dyDescent="0.25">
      <c r="G813" s="134"/>
      <c r="H813" s="136"/>
      <c r="I813" s="133"/>
      <c r="J813" s="133"/>
      <c r="K813" s="133"/>
      <c r="L813" s="138"/>
      <c r="M813" s="138"/>
      <c r="N813" s="138"/>
      <c r="O813" s="138"/>
    </row>
    <row r="814" spans="7:15" hidden="1" x14ac:dyDescent="0.25">
      <c r="G814" s="134"/>
      <c r="H814" s="136"/>
      <c r="I814" s="133"/>
      <c r="J814" s="133"/>
      <c r="K814" s="133"/>
      <c r="L814" s="138"/>
      <c r="M814" s="138"/>
      <c r="N814" s="138"/>
      <c r="O814" s="138"/>
    </row>
    <row r="815" spans="7:15" hidden="1" x14ac:dyDescent="0.25">
      <c r="G815" s="134"/>
      <c r="H815" s="136"/>
      <c r="I815" s="133"/>
      <c r="J815" s="133"/>
      <c r="K815" s="133"/>
      <c r="L815" s="138"/>
      <c r="M815" s="138"/>
      <c r="N815" s="138"/>
      <c r="O815" s="138"/>
    </row>
    <row r="816" spans="7:15" hidden="1" x14ac:dyDescent="0.25">
      <c r="G816" s="134"/>
      <c r="H816" s="136"/>
      <c r="I816" s="133"/>
      <c r="J816" s="133"/>
      <c r="K816" s="133"/>
      <c r="L816" s="138"/>
      <c r="M816" s="138"/>
      <c r="N816" s="138"/>
      <c r="O816" s="138"/>
    </row>
    <row r="817" spans="7:15" hidden="1" x14ac:dyDescent="0.25">
      <c r="G817" s="134"/>
      <c r="H817" s="136"/>
      <c r="I817" s="133"/>
      <c r="J817" s="133"/>
      <c r="K817" s="133"/>
      <c r="L817" s="138"/>
      <c r="M817" s="138"/>
      <c r="N817" s="138"/>
      <c r="O817" s="138"/>
    </row>
    <row r="818" spans="7:15" hidden="1" x14ac:dyDescent="0.25">
      <c r="G818" s="134"/>
      <c r="H818" s="136"/>
      <c r="I818" s="133"/>
      <c r="J818" s="133"/>
      <c r="K818" s="133"/>
      <c r="L818" s="138"/>
      <c r="M818" s="138"/>
      <c r="N818" s="138"/>
      <c r="O818" s="138"/>
    </row>
    <row r="819" spans="7:15" hidden="1" x14ac:dyDescent="0.25">
      <c r="G819" s="134"/>
      <c r="H819" s="136"/>
      <c r="I819" s="133"/>
      <c r="J819" s="133"/>
      <c r="K819" s="133"/>
      <c r="L819" s="138"/>
      <c r="M819" s="138"/>
      <c r="N819" s="138"/>
      <c r="O819" s="138"/>
    </row>
    <row r="820" spans="7:15" hidden="1" x14ac:dyDescent="0.25">
      <c r="G820" s="134"/>
      <c r="H820" s="136"/>
      <c r="I820" s="133"/>
      <c r="J820" s="133"/>
      <c r="K820" s="133"/>
      <c r="L820" s="138"/>
      <c r="M820" s="138"/>
      <c r="N820" s="138"/>
      <c r="O820" s="138"/>
    </row>
    <row r="821" spans="7:15" hidden="1" x14ac:dyDescent="0.25">
      <c r="G821" s="134"/>
      <c r="H821" s="136"/>
      <c r="I821" s="133"/>
      <c r="J821" s="133"/>
      <c r="K821" s="133"/>
      <c r="L821" s="138"/>
      <c r="M821" s="138"/>
      <c r="N821" s="138"/>
      <c r="O821" s="138"/>
    </row>
    <row r="822" spans="7:15" hidden="1" x14ac:dyDescent="0.25">
      <c r="G822" s="134"/>
      <c r="H822" s="136"/>
      <c r="I822" s="133"/>
      <c r="J822" s="133"/>
      <c r="K822" s="133"/>
      <c r="L822" s="138"/>
      <c r="M822" s="138"/>
      <c r="N822" s="138"/>
      <c r="O822" s="138"/>
    </row>
    <row r="823" spans="7:15" hidden="1" x14ac:dyDescent="0.25">
      <c r="G823" s="134"/>
      <c r="H823" s="136"/>
      <c r="I823" s="133"/>
      <c r="J823" s="133"/>
      <c r="K823" s="133"/>
      <c r="L823" s="138"/>
      <c r="M823" s="138"/>
      <c r="N823" s="138"/>
      <c r="O823" s="138"/>
    </row>
    <row r="824" spans="7:15" hidden="1" x14ac:dyDescent="0.25">
      <c r="G824" s="134"/>
      <c r="H824" s="136"/>
      <c r="I824" s="133"/>
      <c r="J824" s="133"/>
      <c r="K824" s="133"/>
      <c r="L824" s="138"/>
      <c r="M824" s="138"/>
      <c r="N824" s="138"/>
      <c r="O824" s="138"/>
    </row>
    <row r="825" spans="7:15" hidden="1" x14ac:dyDescent="0.25">
      <c r="G825" s="134"/>
      <c r="H825" s="136"/>
      <c r="I825" s="133"/>
      <c r="J825" s="133"/>
      <c r="K825" s="133"/>
      <c r="L825" s="138"/>
      <c r="M825" s="138"/>
      <c r="N825" s="138"/>
      <c r="O825" s="138"/>
    </row>
    <row r="826" spans="7:15" hidden="1" x14ac:dyDescent="0.25">
      <c r="G826" s="134"/>
      <c r="H826" s="136"/>
      <c r="I826" s="133"/>
      <c r="J826" s="133"/>
      <c r="K826" s="133"/>
      <c r="L826" s="138"/>
      <c r="M826" s="138"/>
      <c r="N826" s="138"/>
      <c r="O826" s="138"/>
    </row>
    <row r="827" spans="7:15" hidden="1" x14ac:dyDescent="0.25">
      <c r="G827" s="134"/>
      <c r="H827" s="136"/>
      <c r="I827" s="133"/>
      <c r="J827" s="133"/>
      <c r="K827" s="133"/>
      <c r="L827" s="138"/>
      <c r="M827" s="138"/>
      <c r="N827" s="138"/>
      <c r="O827" s="138"/>
    </row>
    <row r="828" spans="7:15" hidden="1" x14ac:dyDescent="0.25">
      <c r="G828" s="134"/>
      <c r="H828" s="136"/>
      <c r="I828" s="133"/>
      <c r="J828" s="133"/>
      <c r="K828" s="133"/>
      <c r="L828" s="138"/>
      <c r="M828" s="138"/>
      <c r="N828" s="138"/>
      <c r="O828" s="138"/>
    </row>
    <row r="829" spans="7:15" hidden="1" x14ac:dyDescent="0.25">
      <c r="G829" s="134"/>
      <c r="H829" s="136"/>
      <c r="I829" s="133"/>
      <c r="J829" s="133"/>
      <c r="K829" s="133"/>
      <c r="L829" s="138"/>
      <c r="M829" s="138"/>
      <c r="N829" s="138"/>
      <c r="O829" s="138"/>
    </row>
    <row r="830" spans="7:15" hidden="1" x14ac:dyDescent="0.25">
      <c r="G830" s="134"/>
      <c r="H830" s="136"/>
      <c r="I830" s="133"/>
      <c r="J830" s="133"/>
      <c r="K830" s="133"/>
      <c r="L830" s="138"/>
      <c r="M830" s="138"/>
      <c r="N830" s="138"/>
      <c r="O830" s="138"/>
    </row>
    <row r="831" spans="7:15" hidden="1" x14ac:dyDescent="0.25">
      <c r="G831" s="134"/>
      <c r="H831" s="136"/>
      <c r="I831" s="133"/>
      <c r="J831" s="133"/>
      <c r="K831" s="133"/>
      <c r="L831" s="138"/>
      <c r="M831" s="138"/>
      <c r="N831" s="138"/>
      <c r="O831" s="138"/>
    </row>
    <row r="832" spans="7:15" hidden="1" x14ac:dyDescent="0.25">
      <c r="G832" s="134"/>
      <c r="H832" s="136"/>
      <c r="I832" s="133"/>
      <c r="J832" s="133"/>
      <c r="K832" s="133"/>
      <c r="L832" s="138"/>
      <c r="M832" s="138"/>
      <c r="N832" s="138"/>
      <c r="O832" s="138"/>
    </row>
    <row r="833" spans="7:15" hidden="1" x14ac:dyDescent="0.25">
      <c r="G833" s="134"/>
      <c r="H833" s="136"/>
      <c r="I833" s="133"/>
      <c r="J833" s="133"/>
      <c r="K833" s="133"/>
      <c r="L833" s="138"/>
      <c r="M833" s="138"/>
      <c r="N833" s="138"/>
      <c r="O833" s="138"/>
    </row>
    <row r="834" spans="7:15" hidden="1" x14ac:dyDescent="0.25">
      <c r="G834" s="134"/>
      <c r="H834" s="136"/>
      <c r="I834" s="133"/>
      <c r="J834" s="133"/>
      <c r="K834" s="133"/>
      <c r="L834" s="138"/>
      <c r="M834" s="138"/>
      <c r="N834" s="138"/>
      <c r="O834" s="138"/>
    </row>
    <row r="835" spans="7:15" hidden="1" x14ac:dyDescent="0.25">
      <c r="G835" s="134"/>
      <c r="H835" s="136"/>
      <c r="I835" s="133"/>
      <c r="J835" s="133"/>
      <c r="K835" s="133"/>
      <c r="L835" s="138"/>
      <c r="M835" s="138"/>
      <c r="N835" s="138"/>
      <c r="O835" s="138"/>
    </row>
    <row r="836" spans="7:15" hidden="1" x14ac:dyDescent="0.25">
      <c r="G836" s="134"/>
      <c r="H836" s="136"/>
      <c r="I836" s="133"/>
      <c r="J836" s="133"/>
      <c r="K836" s="133"/>
      <c r="L836" s="138"/>
      <c r="M836" s="138"/>
      <c r="N836" s="138"/>
      <c r="O836" s="138"/>
    </row>
    <row r="837" spans="7:15" hidden="1" x14ac:dyDescent="0.25">
      <c r="G837" s="134"/>
      <c r="H837" s="136"/>
      <c r="I837" s="133"/>
      <c r="J837" s="133"/>
      <c r="K837" s="133"/>
      <c r="L837" s="138"/>
      <c r="M837" s="138"/>
      <c r="N837" s="138"/>
      <c r="O837" s="138"/>
    </row>
    <row r="838" spans="7:15" hidden="1" x14ac:dyDescent="0.25">
      <c r="G838" s="134"/>
      <c r="H838" s="136"/>
      <c r="I838" s="133"/>
      <c r="J838" s="133"/>
      <c r="K838" s="133"/>
      <c r="L838" s="138"/>
      <c r="M838" s="138"/>
      <c r="N838" s="138"/>
      <c r="O838" s="138"/>
    </row>
    <row r="839" spans="7:15" hidden="1" x14ac:dyDescent="0.25">
      <c r="G839" s="134"/>
      <c r="H839" s="136"/>
      <c r="I839" s="133"/>
      <c r="J839" s="133"/>
      <c r="K839" s="133"/>
      <c r="L839" s="138"/>
      <c r="M839" s="138"/>
      <c r="N839" s="138"/>
      <c r="O839" s="138"/>
    </row>
    <row r="840" spans="7:15" hidden="1" x14ac:dyDescent="0.25">
      <c r="G840" s="134"/>
      <c r="H840" s="136"/>
      <c r="I840" s="133"/>
      <c r="J840" s="133"/>
      <c r="K840" s="133"/>
      <c r="L840" s="138"/>
      <c r="M840" s="138"/>
      <c r="N840" s="138"/>
      <c r="O840" s="138"/>
    </row>
    <row r="841" spans="7:15" hidden="1" x14ac:dyDescent="0.25">
      <c r="G841" s="134"/>
      <c r="H841" s="136"/>
      <c r="I841" s="133"/>
      <c r="J841" s="133"/>
      <c r="K841" s="133"/>
      <c r="L841" s="138"/>
      <c r="M841" s="138"/>
      <c r="N841" s="138"/>
      <c r="O841" s="138"/>
    </row>
    <row r="842" spans="7:15" hidden="1" x14ac:dyDescent="0.25">
      <c r="G842" s="134"/>
      <c r="H842" s="136"/>
      <c r="I842" s="133"/>
      <c r="J842" s="133"/>
      <c r="K842" s="133"/>
      <c r="L842" s="133"/>
      <c r="M842" s="133"/>
      <c r="N842" s="133"/>
      <c r="O842" s="133"/>
    </row>
    <row r="843" spans="7:15" hidden="1" x14ac:dyDescent="0.25">
      <c r="G843" s="134"/>
      <c r="H843" s="136"/>
      <c r="I843" s="133"/>
      <c r="J843" s="133"/>
      <c r="K843" s="133"/>
      <c r="L843" s="133"/>
      <c r="M843" s="133"/>
      <c r="N843" s="133"/>
      <c r="O843" s="133"/>
    </row>
    <row r="844" spans="7:15" hidden="1" x14ac:dyDescent="0.25">
      <c r="G844" s="134"/>
      <c r="H844" s="136"/>
      <c r="I844" s="133"/>
      <c r="J844" s="133"/>
      <c r="K844" s="133"/>
      <c r="L844" s="133"/>
      <c r="M844" s="133"/>
      <c r="N844" s="133"/>
      <c r="O844" s="133"/>
    </row>
    <row r="845" spans="7:15" hidden="1" x14ac:dyDescent="0.25">
      <c r="G845" s="134"/>
      <c r="H845" s="136"/>
      <c r="I845" s="133"/>
      <c r="J845" s="133"/>
      <c r="K845" s="133"/>
      <c r="L845" s="133"/>
      <c r="M845" s="133"/>
      <c r="N845" s="133"/>
      <c r="O845" s="133"/>
    </row>
    <row r="846" spans="7:15" hidden="1" x14ac:dyDescent="0.25">
      <c r="G846" s="134"/>
      <c r="H846" s="136"/>
      <c r="I846" s="133"/>
      <c r="J846" s="133"/>
      <c r="K846" s="133"/>
      <c r="L846" s="133"/>
      <c r="M846" s="133"/>
      <c r="N846" s="133"/>
      <c r="O846" s="133"/>
    </row>
    <row r="847" spans="7:15" hidden="1" x14ac:dyDescent="0.25">
      <c r="G847" s="134"/>
      <c r="H847" s="136"/>
      <c r="I847" s="133"/>
      <c r="J847" s="133"/>
      <c r="K847" s="133"/>
      <c r="L847" s="133"/>
      <c r="M847" s="133"/>
      <c r="N847" s="133"/>
      <c r="O847" s="133"/>
    </row>
    <row r="848" spans="7:15" hidden="1" x14ac:dyDescent="0.25">
      <c r="G848" s="134"/>
      <c r="H848" s="136"/>
      <c r="I848" s="133"/>
      <c r="J848" s="133"/>
      <c r="K848" s="133"/>
      <c r="L848" s="133"/>
      <c r="M848" s="133"/>
      <c r="N848" s="133"/>
      <c r="O848" s="133"/>
    </row>
    <row r="849" spans="7:15" hidden="1" x14ac:dyDescent="0.25">
      <c r="G849" s="134"/>
      <c r="H849" s="136"/>
      <c r="I849" s="133"/>
      <c r="J849" s="133"/>
      <c r="K849" s="133"/>
      <c r="L849" s="133"/>
      <c r="M849" s="133"/>
      <c r="N849" s="133"/>
      <c r="O849" s="133"/>
    </row>
    <row r="850" spans="7:15" hidden="1" x14ac:dyDescent="0.25">
      <c r="G850" s="134"/>
      <c r="H850" s="136"/>
      <c r="I850" s="133"/>
      <c r="J850" s="133"/>
      <c r="K850" s="133"/>
      <c r="L850" s="133"/>
      <c r="M850" s="133"/>
      <c r="N850" s="133"/>
      <c r="O850" s="133"/>
    </row>
    <row r="851" spans="7:15" hidden="1" x14ac:dyDescent="0.25">
      <c r="G851" s="134"/>
      <c r="H851" s="136"/>
      <c r="I851" s="133"/>
      <c r="J851" s="133"/>
      <c r="K851" s="133"/>
      <c r="L851" s="133"/>
      <c r="M851" s="133"/>
      <c r="N851" s="133"/>
      <c r="O851" s="133"/>
    </row>
    <row r="852" spans="7:15" hidden="1" x14ac:dyDescent="0.25">
      <c r="G852" s="134"/>
      <c r="H852" s="136"/>
      <c r="I852" s="133"/>
      <c r="J852" s="133"/>
      <c r="K852" s="133"/>
      <c r="L852" s="133"/>
      <c r="M852" s="133"/>
      <c r="N852" s="133"/>
      <c r="O852" s="133"/>
    </row>
    <row r="853" spans="7:15" hidden="1" x14ac:dyDescent="0.25">
      <c r="G853" s="134"/>
      <c r="H853" s="136"/>
      <c r="I853" s="133"/>
      <c r="J853" s="133"/>
      <c r="K853" s="133"/>
      <c r="L853" s="133"/>
      <c r="M853" s="133"/>
      <c r="N853" s="133"/>
      <c r="O853" s="133"/>
    </row>
    <row r="854" spans="7:15" hidden="1" x14ac:dyDescent="0.25">
      <c r="G854" s="134"/>
      <c r="H854" s="136"/>
      <c r="I854" s="133"/>
      <c r="J854" s="133"/>
      <c r="K854" s="133"/>
      <c r="L854" s="133"/>
      <c r="M854" s="133"/>
      <c r="N854" s="133"/>
      <c r="O854" s="133"/>
    </row>
    <row r="855" spans="7:15" hidden="1" x14ac:dyDescent="0.25">
      <c r="G855" s="134"/>
      <c r="H855" s="136"/>
      <c r="I855" s="133"/>
      <c r="J855" s="133"/>
      <c r="K855" s="133"/>
      <c r="L855" s="133"/>
      <c r="M855" s="133"/>
      <c r="N855" s="133"/>
      <c r="O855" s="133"/>
    </row>
    <row r="856" spans="7:15" hidden="1" x14ac:dyDescent="0.25">
      <c r="G856" s="134"/>
      <c r="H856" s="136"/>
      <c r="I856" s="133"/>
      <c r="J856" s="133"/>
      <c r="K856" s="133"/>
      <c r="L856" s="133"/>
      <c r="M856" s="133"/>
      <c r="N856" s="133"/>
      <c r="O856" s="133"/>
    </row>
    <row r="857" spans="7:15" hidden="1" x14ac:dyDescent="0.25">
      <c r="G857" s="134"/>
      <c r="H857" s="136"/>
      <c r="I857" s="133"/>
      <c r="J857" s="133"/>
      <c r="K857" s="133"/>
      <c r="L857" s="133"/>
      <c r="M857" s="133"/>
      <c r="N857" s="133"/>
      <c r="O857" s="133"/>
    </row>
    <row r="858" spans="7:15" hidden="1" x14ac:dyDescent="0.25">
      <c r="G858" s="134"/>
      <c r="H858" s="136"/>
      <c r="I858" s="133"/>
      <c r="J858" s="133"/>
      <c r="K858" s="133"/>
      <c r="L858" s="133"/>
      <c r="M858" s="133"/>
      <c r="N858" s="133"/>
      <c r="O858" s="133"/>
    </row>
    <row r="859" spans="7:15" hidden="1" x14ac:dyDescent="0.25">
      <c r="G859" s="134"/>
      <c r="H859" s="136"/>
      <c r="I859" s="133"/>
      <c r="J859" s="133"/>
      <c r="K859" s="133"/>
      <c r="L859" s="133"/>
      <c r="M859" s="133"/>
      <c r="N859" s="133"/>
      <c r="O859" s="133"/>
    </row>
    <row r="860" spans="7:15" hidden="1" x14ac:dyDescent="0.25">
      <c r="G860" s="134"/>
      <c r="H860" s="136"/>
      <c r="I860" s="133"/>
      <c r="J860" s="133"/>
      <c r="K860" s="133"/>
      <c r="L860" s="133"/>
      <c r="M860" s="133"/>
      <c r="N860" s="133"/>
      <c r="O860" s="133"/>
    </row>
    <row r="861" spans="7:15" hidden="1" x14ac:dyDescent="0.25">
      <c r="G861" s="134"/>
      <c r="H861" s="136"/>
      <c r="I861" s="133"/>
      <c r="J861" s="133"/>
      <c r="K861" s="133"/>
      <c r="L861" s="133"/>
      <c r="M861" s="133"/>
      <c r="N861" s="133"/>
      <c r="O861" s="133"/>
    </row>
    <row r="862" spans="7:15" hidden="1" x14ac:dyDescent="0.25">
      <c r="G862" s="134"/>
      <c r="H862" s="136"/>
      <c r="I862" s="133"/>
      <c r="J862" s="133"/>
      <c r="K862" s="133"/>
      <c r="L862" s="133"/>
      <c r="M862" s="133"/>
      <c r="N862" s="133"/>
      <c r="O862" s="133"/>
    </row>
    <row r="863" spans="7:15" hidden="1" x14ac:dyDescent="0.25">
      <c r="G863" s="134"/>
      <c r="H863" s="136"/>
      <c r="I863" s="133"/>
      <c r="J863" s="133"/>
      <c r="K863" s="133"/>
      <c r="L863" s="133"/>
      <c r="M863" s="133"/>
      <c r="N863" s="133"/>
      <c r="O863" s="133"/>
    </row>
    <row r="864" spans="7:15" hidden="1" x14ac:dyDescent="0.25">
      <c r="G864" s="134"/>
      <c r="H864" s="136"/>
      <c r="I864" s="133"/>
      <c r="J864" s="133"/>
      <c r="K864" s="133"/>
      <c r="L864" s="133"/>
      <c r="M864" s="133"/>
      <c r="N864" s="133"/>
      <c r="O864" s="133"/>
    </row>
    <row r="865" spans="7:15" hidden="1" x14ac:dyDescent="0.25">
      <c r="G865" s="134"/>
      <c r="H865" s="136"/>
      <c r="I865" s="133"/>
      <c r="J865" s="133"/>
      <c r="K865" s="133"/>
      <c r="L865" s="133"/>
      <c r="M865" s="133"/>
      <c r="N865" s="133"/>
      <c r="O865" s="133"/>
    </row>
    <row r="866" spans="7:15" hidden="1" x14ac:dyDescent="0.25">
      <c r="G866" s="134"/>
      <c r="H866" s="136"/>
      <c r="I866" s="133"/>
      <c r="J866" s="133"/>
      <c r="K866" s="133"/>
      <c r="L866" s="133"/>
      <c r="M866" s="133"/>
      <c r="N866" s="133"/>
      <c r="O866" s="133"/>
    </row>
    <row r="867" spans="7:15" hidden="1" x14ac:dyDescent="0.25">
      <c r="G867" s="134"/>
      <c r="H867" s="136"/>
      <c r="I867" s="133"/>
      <c r="J867" s="133"/>
      <c r="K867" s="133"/>
      <c r="L867" s="133"/>
      <c r="M867" s="133"/>
      <c r="N867" s="133"/>
      <c r="O867" s="133"/>
    </row>
    <row r="868" spans="7:15" hidden="1" x14ac:dyDescent="0.25">
      <c r="G868" s="134"/>
      <c r="H868" s="136"/>
      <c r="I868" s="133"/>
      <c r="J868" s="133"/>
      <c r="K868" s="133"/>
      <c r="L868" s="133"/>
      <c r="M868" s="133"/>
      <c r="N868" s="133"/>
      <c r="O868" s="133"/>
    </row>
    <row r="869" spans="7:15" hidden="1" x14ac:dyDescent="0.25">
      <c r="G869" s="134"/>
      <c r="H869" s="136"/>
      <c r="I869" s="133"/>
      <c r="J869" s="133"/>
      <c r="K869" s="133"/>
      <c r="L869" s="133"/>
      <c r="M869" s="133"/>
      <c r="N869" s="133"/>
      <c r="O869" s="133"/>
    </row>
    <row r="870" spans="7:15" hidden="1" x14ac:dyDescent="0.25">
      <c r="G870" s="134"/>
      <c r="H870" s="136"/>
      <c r="I870" s="133"/>
      <c r="J870" s="133"/>
      <c r="K870" s="133"/>
      <c r="L870" s="133"/>
      <c r="M870" s="133"/>
      <c r="N870" s="133"/>
      <c r="O870" s="133"/>
    </row>
    <row r="871" spans="7:15" hidden="1" x14ac:dyDescent="0.25">
      <c r="G871" s="134"/>
      <c r="H871" s="136"/>
      <c r="I871" s="133"/>
      <c r="J871" s="133"/>
      <c r="K871" s="133"/>
      <c r="L871" s="133"/>
      <c r="M871" s="133"/>
      <c r="N871" s="133"/>
      <c r="O871" s="133"/>
    </row>
    <row r="872" spans="7:15" hidden="1" x14ac:dyDescent="0.25">
      <c r="G872" s="134"/>
      <c r="H872" s="136"/>
      <c r="I872" s="133"/>
      <c r="J872" s="133"/>
      <c r="K872" s="133"/>
      <c r="L872" s="133"/>
      <c r="M872" s="133"/>
      <c r="N872" s="133"/>
      <c r="O872" s="133"/>
    </row>
    <row r="873" spans="7:15" hidden="1" x14ac:dyDescent="0.25">
      <c r="G873" s="134"/>
      <c r="H873" s="136"/>
      <c r="I873" s="133"/>
      <c r="J873" s="133"/>
      <c r="K873" s="133"/>
      <c r="L873" s="133"/>
      <c r="M873" s="133"/>
      <c r="N873" s="133"/>
      <c r="O873" s="133"/>
    </row>
    <row r="874" spans="7:15" hidden="1" x14ac:dyDescent="0.25">
      <c r="G874" s="134"/>
      <c r="H874" s="136"/>
      <c r="I874" s="133"/>
      <c r="J874" s="133"/>
      <c r="K874" s="133"/>
      <c r="L874" s="133"/>
      <c r="M874" s="133"/>
      <c r="N874" s="133"/>
      <c r="O874" s="133"/>
    </row>
    <row r="875" spans="7:15" hidden="1" x14ac:dyDescent="0.25">
      <c r="G875" s="134"/>
      <c r="H875" s="136"/>
      <c r="I875" s="133"/>
      <c r="J875" s="133"/>
      <c r="K875" s="133"/>
      <c r="L875" s="133"/>
      <c r="M875" s="133"/>
      <c r="N875" s="133"/>
      <c r="O875" s="133"/>
    </row>
    <row r="876" spans="7:15" hidden="1" x14ac:dyDescent="0.25">
      <c r="G876" s="134"/>
      <c r="H876" s="136"/>
      <c r="I876" s="133"/>
      <c r="J876" s="133"/>
      <c r="K876" s="133"/>
      <c r="L876" s="133"/>
      <c r="M876" s="133"/>
      <c r="N876" s="133"/>
      <c r="O876" s="133"/>
    </row>
    <row r="877" spans="7:15" hidden="1" x14ac:dyDescent="0.25">
      <c r="G877" s="134"/>
      <c r="H877" s="136"/>
      <c r="I877" s="133"/>
      <c r="J877" s="133"/>
      <c r="K877" s="133"/>
      <c r="L877" s="133"/>
      <c r="M877" s="133"/>
      <c r="N877" s="133"/>
      <c r="O877" s="133"/>
    </row>
    <row r="878" spans="7:15" hidden="1" x14ac:dyDescent="0.25">
      <c r="G878" s="134"/>
      <c r="H878" s="136"/>
      <c r="I878" s="133"/>
      <c r="J878" s="133"/>
      <c r="K878" s="133"/>
      <c r="L878" s="133"/>
      <c r="M878" s="133"/>
      <c r="N878" s="133"/>
      <c r="O878" s="133"/>
    </row>
    <row r="879" spans="7:15" hidden="1" x14ac:dyDescent="0.25">
      <c r="G879" s="134"/>
      <c r="H879" s="136"/>
      <c r="I879" s="133"/>
      <c r="J879" s="133"/>
      <c r="K879" s="133"/>
      <c r="L879" s="133"/>
      <c r="M879" s="133"/>
      <c r="N879" s="133"/>
      <c r="O879" s="133"/>
    </row>
    <row r="880" spans="7:15" hidden="1" x14ac:dyDescent="0.25">
      <c r="G880" s="134"/>
      <c r="H880" s="136"/>
      <c r="I880" s="133"/>
      <c r="J880" s="133"/>
      <c r="K880" s="133"/>
      <c r="L880" s="133"/>
      <c r="M880" s="133"/>
      <c r="N880" s="133"/>
      <c r="O880" s="133"/>
    </row>
    <row r="881" spans="7:15" hidden="1" x14ac:dyDescent="0.25">
      <c r="G881" s="134"/>
      <c r="H881" s="136"/>
      <c r="I881" s="133"/>
      <c r="J881" s="133"/>
      <c r="K881" s="133"/>
      <c r="L881" s="133"/>
      <c r="M881" s="133"/>
      <c r="N881" s="133"/>
      <c r="O881" s="133"/>
    </row>
    <row r="882" spans="7:15" hidden="1" x14ac:dyDescent="0.25">
      <c r="G882" s="134"/>
      <c r="H882" s="136"/>
      <c r="I882" s="133"/>
      <c r="J882" s="133"/>
      <c r="K882" s="133"/>
      <c r="L882" s="133"/>
      <c r="M882" s="133"/>
      <c r="N882" s="133"/>
      <c r="O882" s="133"/>
    </row>
    <row r="883" spans="7:15" hidden="1" x14ac:dyDescent="0.25">
      <c r="G883" s="134"/>
      <c r="H883" s="136"/>
      <c r="I883" s="133"/>
      <c r="J883" s="133"/>
      <c r="K883" s="133"/>
      <c r="L883" s="133"/>
      <c r="M883" s="133"/>
      <c r="N883" s="133"/>
      <c r="O883" s="133"/>
    </row>
    <row r="884" spans="7:15" hidden="1" x14ac:dyDescent="0.25">
      <c r="G884" s="134"/>
      <c r="H884" s="136"/>
      <c r="I884" s="133"/>
      <c r="J884" s="133"/>
      <c r="K884" s="133"/>
      <c r="L884" s="133"/>
      <c r="M884" s="133"/>
      <c r="N884" s="133"/>
      <c r="O884" s="133"/>
    </row>
    <row r="885" spans="7:15" hidden="1" x14ac:dyDescent="0.25">
      <c r="G885" s="134"/>
      <c r="H885" s="136"/>
      <c r="I885" s="133"/>
      <c r="J885" s="133"/>
      <c r="K885" s="133"/>
      <c r="L885" s="133"/>
      <c r="M885" s="133"/>
      <c r="N885" s="133"/>
      <c r="O885" s="133"/>
    </row>
    <row r="886" spans="7:15" hidden="1" x14ac:dyDescent="0.25">
      <c r="G886" s="134"/>
      <c r="H886" s="136"/>
      <c r="I886" s="133"/>
      <c r="J886" s="133"/>
      <c r="K886" s="133"/>
      <c r="L886" s="133"/>
      <c r="M886" s="133"/>
      <c r="N886" s="133"/>
      <c r="O886" s="133"/>
    </row>
    <row r="887" spans="7:15" hidden="1" x14ac:dyDescent="0.25">
      <c r="G887" s="134"/>
      <c r="H887" s="136"/>
      <c r="I887" s="133"/>
      <c r="J887" s="133"/>
      <c r="K887" s="133"/>
      <c r="L887" s="133"/>
      <c r="M887" s="133"/>
      <c r="N887" s="133"/>
      <c r="O887" s="133"/>
    </row>
    <row r="888" spans="7:15" hidden="1" x14ac:dyDescent="0.25">
      <c r="G888" s="134"/>
      <c r="H888" s="136"/>
      <c r="I888" s="133"/>
      <c r="J888" s="133"/>
      <c r="K888" s="133"/>
      <c r="L888" s="133"/>
      <c r="M888" s="133"/>
      <c r="N888" s="133"/>
      <c r="O888" s="133"/>
    </row>
    <row r="889" spans="7:15" hidden="1" x14ac:dyDescent="0.25">
      <c r="G889" s="134"/>
      <c r="H889" s="136"/>
      <c r="I889" s="133"/>
      <c r="J889" s="133"/>
      <c r="K889" s="133"/>
      <c r="L889" s="133"/>
      <c r="M889" s="133"/>
      <c r="N889" s="133"/>
      <c r="O889" s="133"/>
    </row>
    <row r="890" spans="7:15" hidden="1" x14ac:dyDescent="0.25">
      <c r="G890" s="134"/>
      <c r="H890" s="136"/>
      <c r="I890" s="133"/>
      <c r="J890" s="133"/>
      <c r="K890" s="133"/>
      <c r="L890" s="133"/>
      <c r="M890" s="133"/>
      <c r="N890" s="133"/>
      <c r="O890" s="133"/>
    </row>
    <row r="891" spans="7:15" hidden="1" x14ac:dyDescent="0.25">
      <c r="G891" s="134"/>
      <c r="H891" s="136"/>
      <c r="I891" s="133"/>
      <c r="J891" s="133"/>
      <c r="K891" s="133"/>
      <c r="L891" s="133"/>
      <c r="M891" s="133"/>
      <c r="N891" s="133"/>
      <c r="O891" s="133"/>
    </row>
    <row r="892" spans="7:15" hidden="1" x14ac:dyDescent="0.25">
      <c r="G892" s="134"/>
      <c r="H892" s="136"/>
      <c r="I892" s="133"/>
      <c r="J892" s="133"/>
      <c r="K892" s="133"/>
      <c r="L892" s="133"/>
      <c r="M892" s="133"/>
      <c r="N892" s="133"/>
      <c r="O892" s="133"/>
    </row>
    <row r="893" spans="7:15" hidden="1" x14ac:dyDescent="0.25">
      <c r="G893" s="134"/>
      <c r="H893" s="136"/>
      <c r="I893" s="133"/>
      <c r="J893" s="133"/>
      <c r="K893" s="133"/>
      <c r="L893" s="133"/>
      <c r="M893" s="133"/>
      <c r="N893" s="133"/>
      <c r="O893" s="133"/>
    </row>
    <row r="894" spans="7:15" hidden="1" x14ac:dyDescent="0.25">
      <c r="G894" s="134"/>
      <c r="H894" s="136"/>
      <c r="I894" s="133"/>
      <c r="J894" s="133"/>
      <c r="K894" s="133"/>
      <c r="L894" s="133"/>
      <c r="M894" s="133"/>
      <c r="N894" s="133"/>
      <c r="O894" s="133"/>
    </row>
    <row r="895" spans="7:15" hidden="1" x14ac:dyDescent="0.25">
      <c r="G895" s="134"/>
      <c r="H895" s="136"/>
      <c r="I895" s="133"/>
      <c r="J895" s="133"/>
      <c r="K895" s="133"/>
      <c r="L895" s="133"/>
      <c r="M895" s="133"/>
      <c r="N895" s="133"/>
      <c r="O895" s="133"/>
    </row>
    <row r="896" spans="7:15" hidden="1" x14ac:dyDescent="0.25">
      <c r="G896" s="134"/>
      <c r="H896" s="136"/>
      <c r="I896" s="133"/>
      <c r="J896" s="133"/>
      <c r="K896" s="133"/>
      <c r="L896" s="133"/>
      <c r="M896" s="133"/>
      <c r="N896" s="133"/>
      <c r="O896" s="133"/>
    </row>
    <row r="897" spans="7:15" hidden="1" x14ac:dyDescent="0.25">
      <c r="G897" s="134"/>
      <c r="H897" s="136"/>
      <c r="I897" s="133"/>
      <c r="J897" s="133"/>
      <c r="K897" s="133"/>
      <c r="L897" s="133"/>
      <c r="M897" s="133"/>
      <c r="N897" s="133"/>
      <c r="O897" s="133"/>
    </row>
    <row r="898" spans="7:15" hidden="1" x14ac:dyDescent="0.25">
      <c r="G898" s="134"/>
      <c r="H898" s="136"/>
      <c r="I898" s="133"/>
      <c r="J898" s="133"/>
      <c r="K898" s="133"/>
      <c r="L898" s="133"/>
      <c r="M898" s="133"/>
      <c r="N898" s="133"/>
      <c r="O898" s="133"/>
    </row>
    <row r="899" spans="7:15" hidden="1" x14ac:dyDescent="0.25">
      <c r="G899" s="134"/>
      <c r="H899" s="136"/>
      <c r="I899" s="133"/>
      <c r="J899" s="133"/>
      <c r="K899" s="133"/>
      <c r="L899" s="133"/>
      <c r="M899" s="133"/>
      <c r="N899" s="133"/>
      <c r="O899" s="133"/>
    </row>
    <row r="900" spans="7:15" hidden="1" x14ac:dyDescent="0.25">
      <c r="G900" s="134"/>
      <c r="H900" s="136"/>
      <c r="I900" s="133"/>
      <c r="J900" s="133"/>
      <c r="K900" s="133"/>
      <c r="L900" s="133"/>
      <c r="M900" s="133"/>
      <c r="N900" s="133"/>
      <c r="O900" s="133"/>
    </row>
    <row r="901" spans="7:15" hidden="1" x14ac:dyDescent="0.25">
      <c r="G901" s="134"/>
      <c r="H901" s="136"/>
      <c r="I901" s="133"/>
      <c r="J901" s="133"/>
      <c r="K901" s="133"/>
      <c r="L901" s="133"/>
      <c r="M901" s="133"/>
      <c r="N901" s="133"/>
      <c r="O901" s="133"/>
    </row>
    <row r="902" spans="7:15" hidden="1" x14ac:dyDescent="0.25">
      <c r="G902" s="134"/>
      <c r="H902" s="136"/>
      <c r="I902" s="133"/>
      <c r="J902" s="133"/>
      <c r="K902" s="133"/>
      <c r="L902" s="133"/>
      <c r="M902" s="133"/>
      <c r="N902" s="133"/>
      <c r="O902" s="133"/>
    </row>
    <row r="903" spans="7:15" hidden="1" x14ac:dyDescent="0.25">
      <c r="G903" s="134"/>
      <c r="H903" s="136"/>
      <c r="I903" s="133"/>
      <c r="J903" s="133"/>
      <c r="K903" s="133"/>
      <c r="L903" s="133"/>
      <c r="M903" s="133"/>
      <c r="N903" s="133"/>
      <c r="O903" s="133"/>
    </row>
    <row r="904" spans="7:15" hidden="1" x14ac:dyDescent="0.25">
      <c r="G904" s="134"/>
      <c r="H904" s="136"/>
      <c r="I904" s="133"/>
      <c r="J904" s="133"/>
      <c r="K904" s="133"/>
      <c r="L904" s="133"/>
      <c r="M904" s="133"/>
      <c r="N904" s="133"/>
      <c r="O904" s="133"/>
    </row>
    <row r="905" spans="7:15" hidden="1" x14ac:dyDescent="0.25">
      <c r="G905" s="134"/>
      <c r="H905" s="136"/>
      <c r="I905" s="133"/>
      <c r="J905" s="133"/>
      <c r="K905" s="133"/>
      <c r="L905" s="133"/>
      <c r="M905" s="133"/>
      <c r="N905" s="133"/>
      <c r="O905" s="133"/>
    </row>
    <row r="906" spans="7:15" hidden="1" x14ac:dyDescent="0.25">
      <c r="G906" s="134"/>
      <c r="H906" s="136"/>
      <c r="I906" s="133"/>
      <c r="J906" s="133"/>
      <c r="K906" s="133"/>
      <c r="L906" s="133"/>
      <c r="M906" s="133"/>
      <c r="N906" s="133"/>
      <c r="O906" s="133"/>
    </row>
    <row r="907" spans="7:15" hidden="1" x14ac:dyDescent="0.25">
      <c r="G907" s="134"/>
      <c r="H907" s="136"/>
      <c r="I907" s="133"/>
      <c r="J907" s="133"/>
      <c r="K907" s="133"/>
      <c r="L907" s="133"/>
      <c r="M907" s="133"/>
      <c r="N907" s="133"/>
      <c r="O907" s="133"/>
    </row>
    <row r="908" spans="7:15" hidden="1" x14ac:dyDescent="0.25">
      <c r="G908" s="134"/>
      <c r="H908" s="136"/>
      <c r="I908" s="133"/>
      <c r="J908" s="133"/>
      <c r="K908" s="133"/>
      <c r="L908" s="133"/>
      <c r="M908" s="133"/>
      <c r="N908" s="133"/>
      <c r="O908" s="133"/>
    </row>
    <row r="909" spans="7:15" hidden="1" x14ac:dyDescent="0.25">
      <c r="G909" s="134"/>
      <c r="H909" s="136"/>
      <c r="I909" s="133"/>
      <c r="J909" s="133"/>
      <c r="K909" s="133"/>
      <c r="L909" s="133"/>
      <c r="M909" s="133"/>
      <c r="N909" s="133"/>
      <c r="O909" s="133"/>
    </row>
    <row r="910" spans="7:15" hidden="1" x14ac:dyDescent="0.25">
      <c r="G910" s="134"/>
      <c r="H910" s="136"/>
      <c r="I910" s="133"/>
      <c r="J910" s="133"/>
      <c r="K910" s="133"/>
      <c r="L910" s="133"/>
      <c r="M910" s="133"/>
      <c r="N910" s="133"/>
      <c r="O910" s="133"/>
    </row>
    <row r="911" spans="7:15" hidden="1" x14ac:dyDescent="0.25">
      <c r="G911" s="134"/>
      <c r="H911" s="136"/>
      <c r="I911" s="133"/>
      <c r="J911" s="133"/>
      <c r="K911" s="133"/>
      <c r="L911" s="133"/>
      <c r="M911" s="133"/>
      <c r="N911" s="133"/>
      <c r="O911" s="133"/>
    </row>
    <row r="912" spans="7:15" hidden="1" x14ac:dyDescent="0.25">
      <c r="G912" s="134"/>
      <c r="H912" s="136"/>
      <c r="I912" s="133"/>
      <c r="J912" s="133"/>
      <c r="K912" s="133"/>
      <c r="L912" s="133"/>
      <c r="M912" s="133"/>
      <c r="N912" s="133"/>
      <c r="O912" s="133"/>
    </row>
    <row r="913" spans="7:15" hidden="1" x14ac:dyDescent="0.25">
      <c r="G913" s="134"/>
      <c r="H913" s="136"/>
      <c r="I913" s="133"/>
      <c r="J913" s="133"/>
      <c r="K913" s="133"/>
      <c r="L913" s="133"/>
      <c r="M913" s="133"/>
      <c r="N913" s="133"/>
      <c r="O913" s="133"/>
    </row>
    <row r="914" spans="7:15" hidden="1" x14ac:dyDescent="0.25">
      <c r="G914" s="134"/>
      <c r="H914" s="136"/>
      <c r="I914" s="133"/>
      <c r="J914" s="133"/>
      <c r="K914" s="133"/>
      <c r="L914" s="133"/>
      <c r="M914" s="133"/>
      <c r="N914" s="133"/>
      <c r="O914" s="133"/>
    </row>
    <row r="915" spans="7:15" hidden="1" x14ac:dyDescent="0.25">
      <c r="G915" s="134"/>
      <c r="H915" s="136"/>
      <c r="I915" s="133"/>
      <c r="J915" s="133"/>
      <c r="K915" s="133"/>
      <c r="L915" s="133"/>
      <c r="M915" s="133"/>
      <c r="N915" s="133"/>
      <c r="O915" s="133"/>
    </row>
    <row r="916" spans="7:15" hidden="1" x14ac:dyDescent="0.25">
      <c r="G916" s="134"/>
      <c r="H916" s="136"/>
      <c r="I916" s="133"/>
      <c r="J916" s="133"/>
      <c r="K916" s="133"/>
      <c r="L916" s="133"/>
      <c r="M916" s="133"/>
      <c r="N916" s="133"/>
      <c r="O916" s="133"/>
    </row>
    <row r="917" spans="7:15" hidden="1" x14ac:dyDescent="0.25">
      <c r="G917" s="134"/>
      <c r="H917" s="136"/>
      <c r="I917" s="133"/>
      <c r="J917" s="133"/>
      <c r="K917" s="133"/>
      <c r="L917" s="133"/>
      <c r="M917" s="133"/>
      <c r="N917" s="133"/>
      <c r="O917" s="133"/>
    </row>
    <row r="918" spans="7:15" hidden="1" x14ac:dyDescent="0.25">
      <c r="G918" s="134"/>
      <c r="H918" s="136"/>
      <c r="I918" s="133"/>
      <c r="J918" s="133"/>
      <c r="K918" s="133"/>
      <c r="L918" s="133"/>
      <c r="M918" s="133"/>
      <c r="N918" s="133"/>
      <c r="O918" s="133"/>
    </row>
    <row r="919" spans="7:15" hidden="1" x14ac:dyDescent="0.25">
      <c r="G919" s="134"/>
      <c r="H919" s="136"/>
      <c r="I919" s="133"/>
      <c r="J919" s="133"/>
      <c r="K919" s="133"/>
      <c r="L919" s="133"/>
      <c r="M919" s="133"/>
      <c r="N919" s="133"/>
      <c r="O919" s="133"/>
    </row>
    <row r="920" spans="7:15" hidden="1" x14ac:dyDescent="0.25">
      <c r="G920" s="134"/>
      <c r="H920" s="136"/>
      <c r="I920" s="133"/>
      <c r="J920" s="133"/>
      <c r="K920" s="133"/>
      <c r="L920" s="133"/>
      <c r="M920" s="133"/>
      <c r="N920" s="133"/>
      <c r="O920" s="133"/>
    </row>
    <row r="921" spans="7:15" hidden="1" x14ac:dyDescent="0.25">
      <c r="G921" s="134"/>
      <c r="H921" s="136"/>
      <c r="I921" s="133"/>
      <c r="J921" s="133"/>
      <c r="K921" s="133"/>
      <c r="L921" s="133"/>
      <c r="M921" s="133"/>
      <c r="N921" s="133"/>
      <c r="O921" s="133"/>
    </row>
    <row r="922" spans="7:15" hidden="1" x14ac:dyDescent="0.25">
      <c r="G922" s="134"/>
      <c r="H922" s="136"/>
      <c r="I922" s="133"/>
      <c r="J922" s="133"/>
      <c r="K922" s="133"/>
      <c r="L922" s="133"/>
      <c r="M922" s="133"/>
      <c r="N922" s="133"/>
      <c r="O922" s="133"/>
    </row>
    <row r="923" spans="7:15" hidden="1" x14ac:dyDescent="0.25">
      <c r="G923" s="134"/>
      <c r="H923" s="136"/>
      <c r="I923" s="133"/>
      <c r="J923" s="133"/>
      <c r="K923" s="133"/>
      <c r="L923" s="133"/>
      <c r="M923" s="133"/>
      <c r="N923" s="133"/>
      <c r="O923" s="133"/>
    </row>
    <row r="924" spans="7:15" hidden="1" x14ac:dyDescent="0.25">
      <c r="G924" s="134"/>
      <c r="H924" s="136"/>
      <c r="I924" s="133"/>
      <c r="J924" s="133"/>
      <c r="K924" s="133"/>
      <c r="L924" s="133"/>
      <c r="M924" s="133"/>
      <c r="N924" s="133"/>
      <c r="O924" s="133"/>
    </row>
    <row r="925" spans="7:15" hidden="1" x14ac:dyDescent="0.25">
      <c r="G925" s="134"/>
      <c r="H925" s="136"/>
      <c r="I925" s="133"/>
      <c r="J925" s="133"/>
      <c r="K925" s="133"/>
      <c r="L925" s="133"/>
      <c r="M925" s="133"/>
      <c r="N925" s="133"/>
      <c r="O925" s="133"/>
    </row>
    <row r="926" spans="7:15" hidden="1" x14ac:dyDescent="0.25">
      <c r="G926" s="134"/>
      <c r="H926" s="136"/>
      <c r="I926" s="133"/>
      <c r="J926" s="133"/>
      <c r="K926" s="133"/>
      <c r="L926" s="133"/>
      <c r="M926" s="133"/>
      <c r="N926" s="133"/>
      <c r="O926" s="133"/>
    </row>
    <row r="927" spans="7:15" hidden="1" x14ac:dyDescent="0.25">
      <c r="G927" s="134"/>
      <c r="H927" s="136"/>
      <c r="I927" s="133"/>
      <c r="J927" s="133"/>
      <c r="K927" s="133"/>
      <c r="L927" s="133"/>
      <c r="M927" s="133"/>
      <c r="N927" s="133"/>
      <c r="O927" s="133"/>
    </row>
    <row r="928" spans="7:15" hidden="1" x14ac:dyDescent="0.25">
      <c r="G928" s="134"/>
      <c r="H928" s="136"/>
      <c r="I928" s="133"/>
      <c r="J928" s="133"/>
      <c r="K928" s="133"/>
      <c r="L928" s="133"/>
      <c r="M928" s="133"/>
      <c r="N928" s="133"/>
      <c r="O928" s="133"/>
    </row>
    <row r="929" spans="7:15" hidden="1" x14ac:dyDescent="0.25">
      <c r="G929" s="134"/>
      <c r="H929" s="136"/>
      <c r="I929" s="133"/>
      <c r="J929" s="133"/>
      <c r="K929" s="133"/>
      <c r="L929" s="133"/>
      <c r="M929" s="133"/>
      <c r="N929" s="133"/>
      <c r="O929" s="133"/>
    </row>
    <row r="930" spans="7:15" hidden="1" x14ac:dyDescent="0.25">
      <c r="G930" s="134"/>
      <c r="H930" s="136"/>
      <c r="I930" s="133"/>
      <c r="J930" s="133"/>
      <c r="K930" s="133"/>
      <c r="L930" s="133"/>
      <c r="M930" s="133"/>
      <c r="N930" s="133"/>
      <c r="O930" s="133"/>
    </row>
    <row r="931" spans="7:15" hidden="1" x14ac:dyDescent="0.25">
      <c r="G931" s="134"/>
      <c r="H931" s="136"/>
      <c r="I931" s="133"/>
      <c r="J931" s="133"/>
      <c r="K931" s="133"/>
      <c r="L931" s="133"/>
      <c r="M931" s="133"/>
      <c r="N931" s="133"/>
      <c r="O931" s="133"/>
    </row>
    <row r="932" spans="7:15" hidden="1" x14ac:dyDescent="0.25">
      <c r="G932" s="134"/>
      <c r="H932" s="136"/>
      <c r="I932" s="133"/>
      <c r="J932" s="133"/>
      <c r="K932" s="133"/>
      <c r="L932" s="133"/>
      <c r="M932" s="133"/>
      <c r="N932" s="133"/>
      <c r="O932" s="133"/>
    </row>
    <row r="933" spans="7:15" hidden="1" x14ac:dyDescent="0.25">
      <c r="G933" s="134"/>
      <c r="H933" s="136"/>
      <c r="I933" s="133"/>
      <c r="J933" s="133"/>
      <c r="K933" s="133"/>
      <c r="L933" s="133"/>
      <c r="M933" s="133"/>
      <c r="N933" s="133"/>
      <c r="O933" s="133"/>
    </row>
    <row r="934" spans="7:15" hidden="1" x14ac:dyDescent="0.25">
      <c r="G934" s="134"/>
      <c r="H934" s="136"/>
      <c r="I934" s="133"/>
      <c r="J934" s="133"/>
      <c r="K934" s="133"/>
      <c r="L934" s="133"/>
      <c r="M934" s="133"/>
      <c r="N934" s="133"/>
      <c r="O934" s="133"/>
    </row>
    <row r="935" spans="7:15" hidden="1" x14ac:dyDescent="0.25">
      <c r="G935" s="134"/>
      <c r="H935" s="136"/>
      <c r="I935" s="133"/>
      <c r="J935" s="133"/>
      <c r="K935" s="133"/>
      <c r="L935" s="133"/>
      <c r="M935" s="133"/>
      <c r="N935" s="133"/>
      <c r="O935" s="133"/>
    </row>
    <row r="936" spans="7:15" hidden="1" x14ac:dyDescent="0.25">
      <c r="G936" s="134"/>
      <c r="H936" s="136"/>
      <c r="I936" s="133"/>
      <c r="J936" s="133"/>
      <c r="K936" s="133"/>
      <c r="L936" s="133"/>
      <c r="M936" s="133"/>
      <c r="N936" s="133"/>
      <c r="O936" s="133"/>
    </row>
    <row r="937" spans="7:15" hidden="1" x14ac:dyDescent="0.25">
      <c r="G937" s="134"/>
      <c r="H937" s="136"/>
      <c r="I937" s="133"/>
      <c r="J937" s="133"/>
      <c r="K937" s="133"/>
      <c r="L937" s="133"/>
      <c r="M937" s="133"/>
      <c r="N937" s="133"/>
      <c r="O937" s="133"/>
    </row>
    <row r="938" spans="7:15" hidden="1" x14ac:dyDescent="0.25">
      <c r="G938" s="134"/>
      <c r="H938" s="136"/>
      <c r="I938" s="133"/>
      <c r="J938" s="133"/>
      <c r="K938" s="133"/>
      <c r="L938" s="133"/>
      <c r="M938" s="133"/>
      <c r="N938" s="133"/>
      <c r="O938" s="133"/>
    </row>
    <row r="939" spans="7:15" hidden="1" x14ac:dyDescent="0.25">
      <c r="G939" s="134"/>
      <c r="H939" s="136"/>
      <c r="I939" s="133"/>
      <c r="J939" s="133"/>
      <c r="K939" s="133"/>
      <c r="L939" s="133"/>
      <c r="M939" s="133"/>
      <c r="N939" s="133"/>
      <c r="O939" s="133"/>
    </row>
    <row r="940" spans="7:15" hidden="1" x14ac:dyDescent="0.25">
      <c r="G940" s="134"/>
      <c r="H940" s="136"/>
      <c r="I940" s="133"/>
      <c r="J940" s="133"/>
      <c r="K940" s="133"/>
      <c r="L940" s="133"/>
      <c r="M940" s="133"/>
      <c r="N940" s="133"/>
      <c r="O940" s="133"/>
    </row>
    <row r="941" spans="7:15" hidden="1" x14ac:dyDescent="0.25">
      <c r="G941" s="134"/>
      <c r="H941" s="136"/>
      <c r="I941" s="133"/>
      <c r="J941" s="133"/>
      <c r="K941" s="133"/>
      <c r="L941" s="133"/>
      <c r="M941" s="133"/>
      <c r="N941" s="133"/>
      <c r="O941" s="133"/>
    </row>
    <row r="942" spans="7:15" hidden="1" x14ac:dyDescent="0.25">
      <c r="G942" s="134"/>
      <c r="H942" s="136"/>
      <c r="I942" s="133"/>
      <c r="J942" s="133"/>
      <c r="K942" s="133"/>
      <c r="L942" s="133"/>
      <c r="M942" s="133"/>
      <c r="N942" s="133"/>
      <c r="O942" s="133"/>
    </row>
    <row r="943" spans="7:15" hidden="1" x14ac:dyDescent="0.25">
      <c r="G943" s="134"/>
      <c r="H943" s="136"/>
      <c r="I943" s="133"/>
      <c r="J943" s="133"/>
      <c r="K943" s="133"/>
      <c r="L943" s="133"/>
      <c r="M943" s="133"/>
      <c r="N943" s="133"/>
      <c r="O943" s="133"/>
    </row>
    <row r="944" spans="7:15" hidden="1" x14ac:dyDescent="0.25">
      <c r="G944" s="134"/>
      <c r="H944" s="136"/>
      <c r="I944" s="133"/>
      <c r="J944" s="133"/>
      <c r="K944" s="133"/>
      <c r="L944" s="133"/>
      <c r="M944" s="133"/>
      <c r="N944" s="133"/>
      <c r="O944" s="133"/>
    </row>
    <row r="945" spans="7:15" hidden="1" x14ac:dyDescent="0.25">
      <c r="G945" s="134"/>
      <c r="H945" s="136"/>
      <c r="I945" s="133"/>
      <c r="J945" s="133"/>
      <c r="K945" s="133"/>
      <c r="L945" s="133"/>
      <c r="M945" s="133"/>
      <c r="N945" s="133"/>
      <c r="O945" s="133"/>
    </row>
    <row r="946" spans="7:15" hidden="1" x14ac:dyDescent="0.25">
      <c r="G946" s="134"/>
      <c r="H946" s="136"/>
      <c r="I946" s="133"/>
      <c r="J946" s="133"/>
      <c r="K946" s="133"/>
      <c r="L946" s="133"/>
      <c r="M946" s="133"/>
      <c r="N946" s="133"/>
      <c r="O946" s="133"/>
    </row>
    <row r="947" spans="7:15" hidden="1" x14ac:dyDescent="0.25">
      <c r="G947" s="134"/>
      <c r="H947" s="136"/>
      <c r="I947" s="133"/>
      <c r="J947" s="133"/>
      <c r="K947" s="133"/>
      <c r="L947" s="133"/>
      <c r="M947" s="133"/>
      <c r="N947" s="133"/>
      <c r="O947" s="133"/>
    </row>
    <row r="948" spans="7:15" hidden="1" x14ac:dyDescent="0.25">
      <c r="G948" s="134"/>
      <c r="H948" s="136"/>
      <c r="I948" s="133"/>
      <c r="J948" s="133"/>
      <c r="K948" s="133"/>
      <c r="L948" s="133"/>
      <c r="M948" s="133"/>
      <c r="N948" s="133"/>
      <c r="O948" s="133"/>
    </row>
    <row r="949" spans="7:15" hidden="1" x14ac:dyDescent="0.25">
      <c r="G949" s="134"/>
      <c r="H949" s="136"/>
      <c r="I949" s="133"/>
      <c r="J949" s="133"/>
      <c r="K949" s="133"/>
      <c r="L949" s="133"/>
      <c r="M949" s="133"/>
      <c r="N949" s="133"/>
      <c r="O949" s="133"/>
    </row>
    <row r="950" spans="7:15" hidden="1" x14ac:dyDescent="0.25">
      <c r="G950" s="134"/>
      <c r="H950" s="136"/>
      <c r="I950" s="133"/>
      <c r="J950" s="133"/>
      <c r="K950" s="133"/>
      <c r="L950" s="133"/>
      <c r="M950" s="133"/>
      <c r="N950" s="133"/>
      <c r="O950" s="133"/>
    </row>
    <row r="951" spans="7:15" hidden="1" x14ac:dyDescent="0.25">
      <c r="G951" s="134"/>
      <c r="H951" s="136"/>
      <c r="I951" s="133"/>
      <c r="J951" s="133"/>
      <c r="K951" s="133"/>
      <c r="L951" s="133"/>
      <c r="M951" s="133"/>
      <c r="N951" s="133"/>
      <c r="O951" s="133"/>
    </row>
    <row r="952" spans="7:15" hidden="1" x14ac:dyDescent="0.25">
      <c r="G952" s="134"/>
      <c r="H952" s="136"/>
      <c r="I952" s="133"/>
      <c r="J952" s="133"/>
      <c r="K952" s="133"/>
      <c r="L952" s="133"/>
      <c r="M952" s="133"/>
      <c r="N952" s="133"/>
      <c r="O952" s="133"/>
    </row>
    <row r="953" spans="7:15" hidden="1" x14ac:dyDescent="0.25">
      <c r="G953" s="134"/>
      <c r="H953" s="136"/>
      <c r="I953" s="133"/>
      <c r="J953" s="133"/>
      <c r="K953" s="133"/>
      <c r="L953" s="133"/>
      <c r="M953" s="133"/>
      <c r="N953" s="133"/>
      <c r="O953" s="133"/>
    </row>
    <row r="954" spans="7:15" hidden="1" x14ac:dyDescent="0.25">
      <c r="G954" s="134"/>
      <c r="H954" s="136"/>
      <c r="I954" s="133"/>
      <c r="J954" s="133"/>
      <c r="K954" s="133"/>
      <c r="L954" s="133"/>
      <c r="M954" s="133"/>
      <c r="N954" s="133"/>
      <c r="O954" s="133"/>
    </row>
    <row r="955" spans="7:15" hidden="1" x14ac:dyDescent="0.25">
      <c r="G955" s="134"/>
      <c r="H955" s="136"/>
      <c r="I955" s="133"/>
      <c r="J955" s="133"/>
      <c r="K955" s="133"/>
      <c r="L955" s="133"/>
      <c r="M955" s="133"/>
      <c r="N955" s="133"/>
      <c r="O955" s="133"/>
    </row>
    <row r="956" spans="7:15" hidden="1" x14ac:dyDescent="0.25">
      <c r="G956" s="134"/>
      <c r="H956" s="136"/>
      <c r="I956" s="133"/>
      <c r="J956" s="133"/>
      <c r="K956" s="133"/>
      <c r="L956" s="133"/>
      <c r="M956" s="133"/>
      <c r="N956" s="133"/>
      <c r="O956" s="133"/>
    </row>
    <row r="957" spans="7:15" hidden="1" x14ac:dyDescent="0.25">
      <c r="G957" s="134"/>
      <c r="H957" s="136"/>
      <c r="I957" s="133"/>
      <c r="J957" s="133"/>
      <c r="K957" s="133"/>
      <c r="L957" s="133"/>
      <c r="M957" s="133"/>
      <c r="N957" s="133"/>
      <c r="O957" s="133"/>
    </row>
    <row r="958" spans="7:15" hidden="1" x14ac:dyDescent="0.25">
      <c r="G958" s="134"/>
      <c r="H958" s="136"/>
      <c r="I958" s="133"/>
      <c r="J958" s="133"/>
      <c r="K958" s="133"/>
      <c r="L958" s="133"/>
      <c r="M958" s="133"/>
      <c r="N958" s="133"/>
      <c r="O958" s="133"/>
    </row>
    <row r="959" spans="7:15" hidden="1" x14ac:dyDescent="0.25">
      <c r="G959" s="134"/>
      <c r="H959" s="136"/>
      <c r="I959" s="133"/>
      <c r="J959" s="133"/>
      <c r="K959" s="133"/>
      <c r="L959" s="133"/>
      <c r="M959" s="133"/>
      <c r="N959" s="133"/>
      <c r="O959" s="133"/>
    </row>
    <row r="960" spans="7:15" hidden="1" x14ac:dyDescent="0.25">
      <c r="G960" s="134"/>
      <c r="H960" s="136"/>
      <c r="I960" s="133"/>
      <c r="J960" s="133"/>
      <c r="K960" s="133"/>
      <c r="L960" s="133"/>
      <c r="M960" s="133"/>
      <c r="N960" s="133"/>
      <c r="O960" s="133"/>
    </row>
    <row r="961" spans="7:15" hidden="1" x14ac:dyDescent="0.25">
      <c r="G961" s="134"/>
      <c r="H961" s="136"/>
      <c r="I961" s="133"/>
      <c r="J961" s="133"/>
      <c r="K961" s="133"/>
      <c r="L961" s="133"/>
      <c r="M961" s="133"/>
      <c r="N961" s="133"/>
      <c r="O961" s="133"/>
    </row>
    <row r="962" spans="7:15" hidden="1" x14ac:dyDescent="0.25">
      <c r="G962" s="134"/>
      <c r="H962" s="136"/>
      <c r="I962" s="133"/>
      <c r="J962" s="133"/>
      <c r="K962" s="133"/>
      <c r="L962" s="133"/>
      <c r="M962" s="133"/>
      <c r="N962" s="133"/>
      <c r="O962" s="133"/>
    </row>
    <row r="963" spans="7:15" hidden="1" x14ac:dyDescent="0.25">
      <c r="G963" s="134"/>
      <c r="H963" s="136"/>
      <c r="I963" s="133"/>
      <c r="J963" s="133"/>
      <c r="K963" s="133"/>
      <c r="L963" s="133"/>
      <c r="M963" s="133"/>
      <c r="N963" s="133"/>
      <c r="O963" s="133"/>
    </row>
    <row r="964" spans="7:15" hidden="1" x14ac:dyDescent="0.25">
      <c r="G964" s="134"/>
      <c r="H964" s="136"/>
      <c r="I964" s="133"/>
      <c r="J964" s="133"/>
      <c r="K964" s="133"/>
      <c r="L964" s="133"/>
      <c r="M964" s="133"/>
      <c r="N964" s="133"/>
      <c r="O964" s="133"/>
    </row>
    <row r="965" spans="7:15" hidden="1" x14ac:dyDescent="0.25">
      <c r="G965" s="134"/>
      <c r="H965" s="136"/>
      <c r="I965" s="133"/>
      <c r="J965" s="133"/>
      <c r="K965" s="133"/>
      <c r="L965" s="133"/>
      <c r="M965" s="133"/>
      <c r="N965" s="133"/>
      <c r="O965" s="133"/>
    </row>
    <row r="966" spans="7:15" hidden="1" x14ac:dyDescent="0.25">
      <c r="G966" s="134"/>
      <c r="H966" s="136"/>
      <c r="I966" s="133"/>
      <c r="J966" s="133"/>
      <c r="K966" s="133"/>
      <c r="L966" s="133"/>
      <c r="M966" s="133"/>
      <c r="N966" s="133"/>
      <c r="O966" s="133"/>
    </row>
    <row r="967" spans="7:15" hidden="1" x14ac:dyDescent="0.25">
      <c r="G967" s="134"/>
      <c r="H967" s="136"/>
      <c r="I967" s="133"/>
      <c r="J967" s="133"/>
      <c r="K967" s="133"/>
      <c r="L967" s="133"/>
      <c r="M967" s="133"/>
      <c r="N967" s="133"/>
      <c r="O967" s="133"/>
    </row>
    <row r="968" spans="7:15" hidden="1" x14ac:dyDescent="0.25">
      <c r="G968" s="134"/>
      <c r="H968" s="136"/>
      <c r="I968" s="133"/>
      <c r="J968" s="133"/>
      <c r="K968" s="133"/>
      <c r="L968" s="133"/>
      <c r="M968" s="133"/>
      <c r="N968" s="133"/>
      <c r="O968" s="133"/>
    </row>
    <row r="969" spans="7:15" hidden="1" x14ac:dyDescent="0.25">
      <c r="G969" s="134"/>
      <c r="H969" s="136"/>
      <c r="I969" s="133"/>
      <c r="J969" s="133"/>
      <c r="K969" s="133"/>
      <c r="L969" s="133"/>
      <c r="M969" s="133"/>
      <c r="N969" s="133"/>
      <c r="O969" s="133"/>
    </row>
    <row r="970" spans="7:15" hidden="1" x14ac:dyDescent="0.25">
      <c r="G970" s="134"/>
      <c r="H970" s="136"/>
      <c r="I970" s="133"/>
      <c r="J970" s="133"/>
      <c r="K970" s="133"/>
      <c r="L970" s="133"/>
      <c r="M970" s="133"/>
      <c r="N970" s="133"/>
      <c r="O970" s="133"/>
    </row>
    <row r="971" spans="7:15" hidden="1" x14ac:dyDescent="0.25">
      <c r="G971" s="134"/>
      <c r="H971" s="136"/>
      <c r="I971" s="133"/>
      <c r="J971" s="133"/>
      <c r="K971" s="133"/>
      <c r="L971" s="133"/>
      <c r="M971" s="133"/>
      <c r="N971" s="133"/>
      <c r="O971" s="133"/>
    </row>
    <row r="972" spans="7:15" hidden="1" x14ac:dyDescent="0.25">
      <c r="G972" s="134"/>
      <c r="H972" s="136"/>
      <c r="I972" s="133"/>
      <c r="J972" s="133"/>
      <c r="K972" s="133"/>
      <c r="L972" s="133"/>
      <c r="M972" s="133"/>
      <c r="N972" s="133"/>
      <c r="O972" s="133"/>
    </row>
    <row r="973" spans="7:15" hidden="1" x14ac:dyDescent="0.25">
      <c r="G973" s="134"/>
      <c r="H973" s="136"/>
      <c r="I973" s="133"/>
      <c r="J973" s="133"/>
      <c r="K973" s="133"/>
      <c r="L973" s="133"/>
      <c r="M973" s="133"/>
      <c r="N973" s="133"/>
      <c r="O973" s="133"/>
    </row>
    <row r="974" spans="7:15" hidden="1" x14ac:dyDescent="0.25">
      <c r="G974" s="134"/>
      <c r="H974" s="136"/>
      <c r="I974" s="133"/>
      <c r="J974" s="133"/>
      <c r="K974" s="133"/>
      <c r="L974" s="133"/>
      <c r="M974" s="133"/>
      <c r="N974" s="133"/>
      <c r="O974" s="133"/>
    </row>
    <row r="975" spans="7:15" hidden="1" x14ac:dyDescent="0.25">
      <c r="G975" s="134"/>
      <c r="H975" s="136"/>
      <c r="I975" s="133"/>
      <c r="J975" s="133"/>
      <c r="K975" s="133"/>
      <c r="L975" s="133"/>
      <c r="M975" s="133"/>
      <c r="N975" s="133"/>
      <c r="O975" s="133"/>
    </row>
    <row r="976" spans="7:15" hidden="1" x14ac:dyDescent="0.25">
      <c r="G976" s="134"/>
      <c r="H976" s="136"/>
      <c r="I976" s="133"/>
      <c r="J976" s="133"/>
      <c r="K976" s="133"/>
      <c r="L976" s="133"/>
      <c r="M976" s="133"/>
      <c r="N976" s="133"/>
      <c r="O976" s="133"/>
    </row>
    <row r="977" spans="7:15" hidden="1" x14ac:dyDescent="0.25">
      <c r="G977" s="134"/>
      <c r="H977" s="136"/>
      <c r="I977" s="133"/>
      <c r="J977" s="133"/>
      <c r="K977" s="133"/>
      <c r="L977" s="133"/>
      <c r="M977" s="133"/>
      <c r="N977" s="133"/>
      <c r="O977" s="133"/>
    </row>
    <row r="978" spans="7:15" hidden="1" x14ac:dyDescent="0.25">
      <c r="G978" s="134"/>
      <c r="H978" s="136"/>
      <c r="I978" s="133"/>
      <c r="J978" s="133"/>
      <c r="K978" s="133"/>
      <c r="L978" s="133"/>
      <c r="M978" s="133"/>
      <c r="N978" s="133"/>
      <c r="O978" s="133"/>
    </row>
    <row r="979" spans="7:15" hidden="1" x14ac:dyDescent="0.25">
      <c r="G979" s="134"/>
      <c r="H979" s="136"/>
      <c r="I979" s="133"/>
      <c r="J979" s="133"/>
      <c r="K979" s="133"/>
      <c r="L979" s="133"/>
      <c r="M979" s="133"/>
      <c r="N979" s="133"/>
      <c r="O979" s="133"/>
    </row>
    <row r="980" spans="7:15" hidden="1" x14ac:dyDescent="0.25">
      <c r="G980" s="134"/>
      <c r="H980" s="136"/>
      <c r="I980" s="133"/>
      <c r="J980" s="133"/>
      <c r="K980" s="133"/>
      <c r="L980" s="133"/>
      <c r="M980" s="133"/>
      <c r="N980" s="133"/>
      <c r="O980" s="133"/>
    </row>
    <row r="981" spans="7:15" hidden="1" x14ac:dyDescent="0.25">
      <c r="G981" s="134"/>
      <c r="H981" s="136"/>
      <c r="I981" s="133"/>
      <c r="J981" s="133"/>
      <c r="K981" s="133"/>
      <c r="L981" s="133"/>
      <c r="M981" s="133"/>
      <c r="N981" s="133"/>
      <c r="O981" s="133"/>
    </row>
    <row r="982" spans="7:15" hidden="1" x14ac:dyDescent="0.25">
      <c r="G982" s="134"/>
      <c r="H982" s="136"/>
      <c r="I982" s="133"/>
      <c r="J982" s="133"/>
      <c r="K982" s="133"/>
      <c r="L982" s="133"/>
      <c r="M982" s="133"/>
      <c r="N982" s="133"/>
      <c r="O982" s="133"/>
    </row>
    <row r="983" spans="7:15" hidden="1" x14ac:dyDescent="0.25">
      <c r="G983" s="134"/>
      <c r="H983" s="136"/>
      <c r="I983" s="133"/>
      <c r="J983" s="133"/>
      <c r="K983" s="133"/>
      <c r="L983" s="133"/>
      <c r="M983" s="133"/>
      <c r="N983" s="133"/>
      <c r="O983" s="133"/>
    </row>
    <row r="984" spans="7:15" hidden="1" x14ac:dyDescent="0.25">
      <c r="G984" s="134"/>
      <c r="H984" s="136"/>
      <c r="I984" s="133"/>
      <c r="J984" s="133"/>
      <c r="K984" s="133"/>
      <c r="L984" s="133"/>
      <c r="M984" s="133"/>
      <c r="N984" s="133"/>
      <c r="O984" s="133"/>
    </row>
    <row r="985" spans="7:15" hidden="1" x14ac:dyDescent="0.25">
      <c r="G985" s="134"/>
      <c r="H985" s="136"/>
      <c r="I985" s="133"/>
      <c r="J985" s="133"/>
      <c r="K985" s="133"/>
      <c r="L985" s="133"/>
      <c r="M985" s="133"/>
      <c r="N985" s="133"/>
      <c r="O985" s="133"/>
    </row>
    <row r="986" spans="7:15" hidden="1" x14ac:dyDescent="0.25">
      <c r="G986" s="134"/>
      <c r="H986" s="136"/>
      <c r="I986" s="133"/>
      <c r="J986" s="133"/>
      <c r="K986" s="133"/>
      <c r="L986" s="133"/>
      <c r="M986" s="133"/>
      <c r="N986" s="133"/>
      <c r="O986" s="133"/>
    </row>
    <row r="987" spans="7:15" hidden="1" x14ac:dyDescent="0.25">
      <c r="G987" s="134"/>
      <c r="H987" s="136"/>
      <c r="I987" s="133"/>
      <c r="J987" s="133"/>
      <c r="K987" s="133"/>
      <c r="L987" s="133"/>
      <c r="M987" s="133"/>
      <c r="N987" s="133"/>
      <c r="O987" s="133"/>
    </row>
    <row r="988" spans="7:15" hidden="1" x14ac:dyDescent="0.25">
      <c r="G988" s="134"/>
      <c r="H988" s="136"/>
      <c r="I988" s="133"/>
      <c r="J988" s="133"/>
      <c r="K988" s="133"/>
      <c r="L988" s="133"/>
      <c r="M988" s="133"/>
      <c r="N988" s="133"/>
      <c r="O988" s="133"/>
    </row>
    <row r="989" spans="7:15" hidden="1" x14ac:dyDescent="0.25">
      <c r="G989" s="134"/>
      <c r="H989" s="136"/>
      <c r="I989" s="133"/>
      <c r="J989" s="133"/>
      <c r="K989" s="133"/>
      <c r="L989" s="133"/>
      <c r="M989" s="133"/>
      <c r="N989" s="133"/>
      <c r="O989" s="133"/>
    </row>
    <row r="990" spans="7:15" hidden="1" x14ac:dyDescent="0.25">
      <c r="G990" s="134"/>
      <c r="H990" s="136"/>
      <c r="I990" s="133"/>
      <c r="J990" s="133"/>
      <c r="K990" s="133"/>
      <c r="L990" s="133"/>
      <c r="M990" s="133"/>
      <c r="N990" s="133"/>
      <c r="O990" s="133"/>
    </row>
    <row r="991" spans="7:15" hidden="1" x14ac:dyDescent="0.25">
      <c r="G991" s="134"/>
      <c r="H991" s="136"/>
      <c r="I991" s="133"/>
      <c r="J991" s="133"/>
      <c r="K991" s="133"/>
      <c r="L991" s="133"/>
      <c r="M991" s="133"/>
      <c r="N991" s="133"/>
      <c r="O991" s="133"/>
    </row>
    <row r="992" spans="7:15" hidden="1" x14ac:dyDescent="0.25">
      <c r="G992" s="134"/>
      <c r="H992" s="136"/>
      <c r="I992" s="133"/>
      <c r="J992" s="133"/>
      <c r="K992" s="133"/>
      <c r="L992" s="133"/>
      <c r="M992" s="133"/>
      <c r="N992" s="133"/>
      <c r="O992" s="133"/>
    </row>
    <row r="993" spans="7:15" hidden="1" x14ac:dyDescent="0.25">
      <c r="G993" s="134"/>
      <c r="H993" s="136"/>
      <c r="I993" s="133"/>
      <c r="J993" s="133"/>
      <c r="K993" s="133"/>
      <c r="L993" s="133"/>
      <c r="M993" s="133"/>
      <c r="N993" s="133"/>
      <c r="O993" s="133"/>
    </row>
    <row r="994" spans="7:15" hidden="1" x14ac:dyDescent="0.25">
      <c r="G994" s="134"/>
      <c r="H994" s="136"/>
      <c r="I994" s="133"/>
      <c r="J994" s="133"/>
      <c r="K994" s="133"/>
      <c r="L994" s="133"/>
      <c r="M994" s="133"/>
      <c r="N994" s="133"/>
      <c r="O994" s="133"/>
    </row>
    <row r="995" spans="7:15" hidden="1" x14ac:dyDescent="0.25">
      <c r="G995" s="134"/>
      <c r="H995" s="136"/>
      <c r="I995" s="133"/>
      <c r="J995" s="133"/>
      <c r="K995" s="133"/>
      <c r="L995" s="133"/>
      <c r="M995" s="133"/>
      <c r="N995" s="133"/>
      <c r="O995" s="133"/>
    </row>
    <row r="996" spans="7:15" hidden="1" x14ac:dyDescent="0.25">
      <c r="G996" s="134"/>
      <c r="H996" s="136"/>
      <c r="I996" s="133"/>
      <c r="J996" s="133"/>
      <c r="K996" s="133"/>
      <c r="L996" s="133"/>
      <c r="M996" s="133"/>
      <c r="N996" s="133"/>
      <c r="O996" s="133"/>
    </row>
    <row r="997" spans="7:15" hidden="1" x14ac:dyDescent="0.25">
      <c r="G997" s="134"/>
      <c r="H997" s="136"/>
      <c r="I997" s="133"/>
      <c r="J997" s="133"/>
      <c r="K997" s="133"/>
      <c r="L997" s="133"/>
      <c r="M997" s="133"/>
      <c r="N997" s="133"/>
      <c r="O997" s="133"/>
    </row>
    <row r="998" spans="7:15" hidden="1" x14ac:dyDescent="0.25">
      <c r="G998" s="134"/>
      <c r="H998" s="136"/>
      <c r="I998" s="133"/>
      <c r="J998" s="133"/>
      <c r="K998" s="133"/>
      <c r="L998" s="133"/>
      <c r="M998" s="133"/>
      <c r="N998" s="133"/>
      <c r="O998" s="133"/>
    </row>
    <row r="999" spans="7:15" hidden="1" x14ac:dyDescent="0.25">
      <c r="G999" s="134"/>
      <c r="H999" s="136"/>
      <c r="I999" s="133"/>
      <c r="J999" s="133"/>
      <c r="K999" s="133"/>
      <c r="L999" s="133"/>
      <c r="M999" s="133"/>
      <c r="N999" s="133"/>
      <c r="O999" s="133"/>
    </row>
    <row r="1000" spans="7:15" hidden="1" x14ac:dyDescent="0.25">
      <c r="G1000" s="134"/>
      <c r="H1000" s="136"/>
      <c r="I1000" s="133"/>
      <c r="J1000" s="133"/>
      <c r="K1000" s="133"/>
      <c r="L1000" s="133"/>
      <c r="M1000" s="133"/>
      <c r="N1000" s="133"/>
      <c r="O1000" s="133"/>
    </row>
    <row r="1001" spans="7:15" hidden="1" x14ac:dyDescent="0.25">
      <c r="G1001" s="134"/>
      <c r="H1001" s="136"/>
      <c r="I1001" s="133"/>
      <c r="J1001" s="133"/>
      <c r="K1001" s="133"/>
      <c r="L1001" s="133"/>
      <c r="M1001" s="133"/>
      <c r="N1001" s="133"/>
      <c r="O1001" s="133"/>
    </row>
    <row r="1002" spans="7:15" hidden="1" x14ac:dyDescent="0.25">
      <c r="G1002" s="134"/>
      <c r="H1002" s="136"/>
      <c r="I1002" s="133"/>
      <c r="J1002" s="133"/>
      <c r="K1002" s="133"/>
      <c r="L1002" s="133"/>
      <c r="M1002" s="133"/>
      <c r="N1002" s="133"/>
      <c r="O1002" s="133"/>
    </row>
  </sheetData>
  <autoFilter ref="G4:O1002" xr:uid="{00000000-0009-0000-0000-000004000000}">
    <filterColumn colId="4">
      <customFilters>
        <customFilter operator="notEqual" val=" "/>
      </customFilters>
    </filterColumn>
  </autoFilter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00"/>
  <sheetViews>
    <sheetView workbookViewId="0">
      <selection activeCell="J5" sqref="J5"/>
    </sheetView>
  </sheetViews>
  <sheetFormatPr defaultRowHeight="15" x14ac:dyDescent="0.25"/>
  <cols>
    <col min="1" max="1" width="41.85546875" bestFit="1" customWidth="1"/>
    <col min="4" max="4" width="21.7109375" bestFit="1" customWidth="1"/>
    <col min="5" max="5" width="7.7109375" customWidth="1"/>
    <col min="6" max="6" width="16.42578125" customWidth="1"/>
    <col min="7" max="7" width="23.5703125" customWidth="1"/>
  </cols>
  <sheetData>
    <row r="1" spans="1:10" x14ac:dyDescent="0.25">
      <c r="A1" t="s">
        <v>17</v>
      </c>
      <c r="D1" t="str">
        <f>A1</f>
        <v>АНГЛИЯПремьер-лига</v>
      </c>
      <c r="E1" s="173">
        <f>A5</f>
        <v>0.95833333333333337</v>
      </c>
      <c r="F1" s="174" t="str">
        <f>A6</f>
        <v>Ливерпуль</v>
      </c>
      <c r="G1" s="175" t="str">
        <f>A7</f>
        <v>Манчестер Юнайтед</v>
      </c>
      <c r="H1" s="176">
        <f>A9</f>
        <v>14611</v>
      </c>
      <c r="I1" s="171">
        <f>A11</f>
        <v>45778</v>
      </c>
      <c r="J1" s="171">
        <f>A12</f>
        <v>18415</v>
      </c>
    </row>
    <row r="2" spans="1:10" x14ac:dyDescent="0.25">
      <c r="A2">
        <v>1</v>
      </c>
      <c r="D2" t="str">
        <f>A13</f>
        <v>ИСПАНИЯПримера</v>
      </c>
      <c r="E2" s="173">
        <f>A17</f>
        <v>0.875</v>
      </c>
      <c r="F2" s="174" t="str">
        <f>A18</f>
        <v>Мальорка</v>
      </c>
      <c r="G2" s="175" t="str">
        <f>A19</f>
        <v>Алавес</v>
      </c>
      <c r="H2" s="176">
        <f>A22</f>
        <v>45717</v>
      </c>
      <c r="I2" s="171">
        <f>A22</f>
        <v>45717</v>
      </c>
      <c r="J2" s="171">
        <f>A23</f>
        <v>21976</v>
      </c>
    </row>
    <row r="3" spans="1:10" x14ac:dyDescent="0.25">
      <c r="A3" t="s">
        <v>18</v>
      </c>
      <c r="E3" s="173">
        <f>A24</f>
        <v>0.95833333333333337</v>
      </c>
      <c r="F3" s="174" t="str">
        <f>A25</f>
        <v>Бетис</v>
      </c>
      <c r="G3" s="175" t="str">
        <f>A26</f>
        <v>Эльче</v>
      </c>
      <c r="H3" s="176">
        <f>A28</f>
        <v>20821</v>
      </c>
      <c r="I3" s="171" t="str">
        <f>A29</f>
        <v>4.00</v>
      </c>
      <c r="J3" s="171" t="str">
        <f>A30</f>
        <v>6.00</v>
      </c>
    </row>
    <row r="4" spans="1:10" x14ac:dyDescent="0.25">
      <c r="A4">
        <v>2</v>
      </c>
      <c r="E4" s="173">
        <f>A31</f>
        <v>0.97916666666666663</v>
      </c>
      <c r="F4" s="174" t="str">
        <f>A32</f>
        <v>Вильярреал</v>
      </c>
      <c r="G4" s="175" t="str">
        <f>A33</f>
        <v>Валенсия</v>
      </c>
      <c r="H4" s="176">
        <f>A35</f>
        <v>16438</v>
      </c>
      <c r="I4" s="171">
        <f>A36</f>
        <v>27485</v>
      </c>
      <c r="J4" s="171">
        <f>A37</f>
        <v>18415</v>
      </c>
    </row>
    <row r="5" spans="1:10" x14ac:dyDescent="0.25">
      <c r="A5" s="170">
        <v>0.95833333333333337</v>
      </c>
      <c r="D5" s="170"/>
      <c r="E5" s="170"/>
    </row>
    <row r="6" spans="1:10" x14ac:dyDescent="0.25">
      <c r="A6" t="s">
        <v>19</v>
      </c>
    </row>
    <row r="7" spans="1:10" x14ac:dyDescent="0.25">
      <c r="A7" t="s">
        <v>20</v>
      </c>
    </row>
    <row r="8" spans="1:10" x14ac:dyDescent="0.25">
      <c r="A8" t="s">
        <v>21</v>
      </c>
    </row>
    <row r="9" spans="1:10" x14ac:dyDescent="0.25">
      <c r="A9" s="171">
        <v>14611</v>
      </c>
      <c r="D9" s="171"/>
      <c r="E9" s="171"/>
    </row>
    <row r="10" spans="1:10" x14ac:dyDescent="0.25">
      <c r="A10" s="171"/>
      <c r="D10" s="171"/>
      <c r="E10" s="171"/>
    </row>
    <row r="11" spans="1:10" x14ac:dyDescent="0.25">
      <c r="A11" s="171">
        <v>45778</v>
      </c>
      <c r="D11" s="171"/>
      <c r="E11" s="171"/>
    </row>
    <row r="12" spans="1:10" x14ac:dyDescent="0.25">
      <c r="A12" s="171">
        <v>18415</v>
      </c>
    </row>
    <row r="13" spans="1:10" x14ac:dyDescent="0.25">
      <c r="A13" t="s">
        <v>22</v>
      </c>
    </row>
    <row r="14" spans="1:10" x14ac:dyDescent="0.25">
      <c r="A14">
        <v>1</v>
      </c>
    </row>
    <row r="15" spans="1:10" x14ac:dyDescent="0.25">
      <c r="A15" t="s">
        <v>18</v>
      </c>
    </row>
    <row r="16" spans="1:10" x14ac:dyDescent="0.25">
      <c r="A16">
        <v>2</v>
      </c>
    </row>
    <row r="17" spans="1:1" x14ac:dyDescent="0.25">
      <c r="A17" s="170">
        <v>0.875</v>
      </c>
    </row>
    <row r="18" spans="1:1" x14ac:dyDescent="0.25">
      <c r="A18" t="s">
        <v>23</v>
      </c>
    </row>
    <row r="19" spans="1:1" x14ac:dyDescent="0.25">
      <c r="A19" t="s">
        <v>24</v>
      </c>
    </row>
    <row r="20" spans="1:1" x14ac:dyDescent="0.25">
      <c r="A20" t="s">
        <v>21</v>
      </c>
    </row>
    <row r="21" spans="1:1" x14ac:dyDescent="0.25">
      <c r="A21" s="172">
        <v>44836</v>
      </c>
    </row>
    <row r="22" spans="1:1" x14ac:dyDescent="0.25">
      <c r="A22" s="171">
        <v>45717</v>
      </c>
    </row>
    <row r="23" spans="1:1" x14ac:dyDescent="0.25">
      <c r="A23" s="171">
        <v>21976</v>
      </c>
    </row>
    <row r="24" spans="1:1" x14ac:dyDescent="0.25">
      <c r="A24" s="170">
        <v>0.95833333333333337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21</v>
      </c>
    </row>
    <row r="28" spans="1:1" x14ac:dyDescent="0.25">
      <c r="A28" s="171">
        <v>20821</v>
      </c>
    </row>
    <row r="29" spans="1:1" x14ac:dyDescent="0.25">
      <c r="A29" t="s">
        <v>27</v>
      </c>
    </row>
    <row r="30" spans="1:1" x14ac:dyDescent="0.25">
      <c r="A30" t="s">
        <v>28</v>
      </c>
    </row>
    <row r="31" spans="1:1" x14ac:dyDescent="0.25">
      <c r="A31" s="170">
        <v>0.97916666666666663</v>
      </c>
    </row>
    <row r="32" spans="1:1" x14ac:dyDescent="0.25">
      <c r="A32" t="s">
        <v>29</v>
      </c>
    </row>
    <row r="33" spans="1:1" x14ac:dyDescent="0.25">
      <c r="A33" t="s">
        <v>30</v>
      </c>
    </row>
    <row r="34" spans="1:1" x14ac:dyDescent="0.25">
      <c r="A34" t="s">
        <v>21</v>
      </c>
    </row>
    <row r="35" spans="1:1" x14ac:dyDescent="0.25">
      <c r="A35" s="171">
        <v>16438</v>
      </c>
    </row>
    <row r="36" spans="1:1" x14ac:dyDescent="0.25">
      <c r="A36" s="171">
        <v>27485</v>
      </c>
    </row>
    <row r="37" spans="1:1" x14ac:dyDescent="0.25">
      <c r="A37" s="171">
        <v>18415</v>
      </c>
    </row>
    <row r="38" spans="1:1" x14ac:dyDescent="0.25">
      <c r="A38" t="s">
        <v>31</v>
      </c>
    </row>
    <row r="39" spans="1:1" x14ac:dyDescent="0.25">
      <c r="A39">
        <v>1</v>
      </c>
    </row>
    <row r="40" spans="1:1" x14ac:dyDescent="0.25">
      <c r="A40" t="s">
        <v>18</v>
      </c>
    </row>
    <row r="41" spans="1:1" x14ac:dyDescent="0.25">
      <c r="A41">
        <v>2</v>
      </c>
    </row>
    <row r="42" spans="1:1" x14ac:dyDescent="0.25">
      <c r="A42" t="s">
        <v>32</v>
      </c>
    </row>
    <row r="43" spans="1:1" x14ac:dyDescent="0.25">
      <c r="A43" t="s">
        <v>33</v>
      </c>
    </row>
    <row r="44" spans="1:1" x14ac:dyDescent="0.25">
      <c r="A44" t="s">
        <v>34</v>
      </c>
    </row>
    <row r="45" spans="1:1" x14ac:dyDescent="0.25">
      <c r="A45" t="s">
        <v>35</v>
      </c>
    </row>
    <row r="46" spans="1:1" x14ac:dyDescent="0.25">
      <c r="A46">
        <v>0</v>
      </c>
    </row>
    <row r="47" spans="1:1" x14ac:dyDescent="0.25">
      <c r="A47">
        <v>1</v>
      </c>
    </row>
    <row r="48" spans="1:1" x14ac:dyDescent="0.25">
      <c r="A48" t="s">
        <v>21</v>
      </c>
    </row>
    <row r="49" spans="1:1" x14ac:dyDescent="0.25">
      <c r="A49" t="s">
        <v>21</v>
      </c>
    </row>
    <row r="50" spans="1:1" x14ac:dyDescent="0.25">
      <c r="A50" t="s">
        <v>21</v>
      </c>
    </row>
    <row r="51" spans="1:1" x14ac:dyDescent="0.25">
      <c r="A51" t="s">
        <v>36</v>
      </c>
    </row>
    <row r="52" spans="1:1" x14ac:dyDescent="0.25">
      <c r="A52">
        <v>1</v>
      </c>
    </row>
    <row r="53" spans="1:1" x14ac:dyDescent="0.25">
      <c r="A53" t="s">
        <v>18</v>
      </c>
    </row>
    <row r="54" spans="1:1" x14ac:dyDescent="0.25">
      <c r="A54">
        <v>2</v>
      </c>
    </row>
    <row r="55" spans="1:1" x14ac:dyDescent="0.25">
      <c r="A55" s="170">
        <v>0.46180555555555558</v>
      </c>
    </row>
    <row r="56" spans="1:1" x14ac:dyDescent="0.25">
      <c r="A56" t="s">
        <v>37</v>
      </c>
    </row>
    <row r="57" spans="1:1" x14ac:dyDescent="0.25">
      <c r="A57" t="s">
        <v>38</v>
      </c>
    </row>
    <row r="58" spans="1:1" x14ac:dyDescent="0.25">
      <c r="A58" t="s">
        <v>21</v>
      </c>
    </row>
    <row r="59" spans="1:1" x14ac:dyDescent="0.25">
      <c r="A59" s="172">
        <v>44683</v>
      </c>
    </row>
    <row r="60" spans="1:1" x14ac:dyDescent="0.25">
      <c r="A60" s="171">
        <v>21976</v>
      </c>
    </row>
    <row r="61" spans="1:1" x14ac:dyDescent="0.25">
      <c r="A61" s="171">
        <v>21976</v>
      </c>
    </row>
    <row r="62" spans="1:1" x14ac:dyDescent="0.25">
      <c r="A62" t="s">
        <v>39</v>
      </c>
    </row>
    <row r="63" spans="1:1" x14ac:dyDescent="0.25">
      <c r="A63">
        <v>1</v>
      </c>
    </row>
    <row r="64" spans="1:1" x14ac:dyDescent="0.25">
      <c r="A64" t="s">
        <v>18</v>
      </c>
    </row>
    <row r="65" spans="1:1" x14ac:dyDescent="0.25">
      <c r="A65">
        <v>2</v>
      </c>
    </row>
    <row r="66" spans="1:1" x14ac:dyDescent="0.25">
      <c r="A66" t="s">
        <v>40</v>
      </c>
    </row>
    <row r="67" spans="1:1" x14ac:dyDescent="0.25">
      <c r="A67" t="s">
        <v>41</v>
      </c>
    </row>
    <row r="68" spans="1:1" x14ac:dyDescent="0.25">
      <c r="A68" t="s">
        <v>42</v>
      </c>
    </row>
    <row r="69" spans="1:1" x14ac:dyDescent="0.25">
      <c r="A69" t="s">
        <v>21</v>
      </c>
    </row>
    <row r="70" spans="1:1" x14ac:dyDescent="0.25">
      <c r="A70" t="s">
        <v>21</v>
      </c>
    </row>
    <row r="71" spans="1:1" x14ac:dyDescent="0.25">
      <c r="A71" t="s">
        <v>21</v>
      </c>
    </row>
    <row r="72" spans="1:1" x14ac:dyDescent="0.25">
      <c r="A72" t="s">
        <v>21</v>
      </c>
    </row>
    <row r="73" spans="1:1" x14ac:dyDescent="0.25">
      <c r="A73" t="s">
        <v>43</v>
      </c>
    </row>
    <row r="74" spans="1:1" x14ac:dyDescent="0.25">
      <c r="A74">
        <v>1</v>
      </c>
    </row>
    <row r="75" spans="1:1" x14ac:dyDescent="0.25">
      <c r="A75" t="s">
        <v>18</v>
      </c>
    </row>
    <row r="76" spans="1:1" x14ac:dyDescent="0.25">
      <c r="A76">
        <v>2</v>
      </c>
    </row>
    <row r="77" spans="1:1" x14ac:dyDescent="0.25">
      <c r="A77" s="170">
        <v>0.89583333333333337</v>
      </c>
    </row>
    <row r="78" spans="1:1" x14ac:dyDescent="0.25">
      <c r="A78" t="s">
        <v>44</v>
      </c>
    </row>
    <row r="79" spans="1:1" x14ac:dyDescent="0.25">
      <c r="A79" t="s">
        <v>45</v>
      </c>
    </row>
    <row r="80" spans="1:1" x14ac:dyDescent="0.25">
      <c r="A80" t="s">
        <v>21</v>
      </c>
    </row>
    <row r="81" spans="1:1" x14ac:dyDescent="0.25">
      <c r="A81" t="s">
        <v>21</v>
      </c>
    </row>
    <row r="82" spans="1:1" x14ac:dyDescent="0.25">
      <c r="A82" t="s">
        <v>21</v>
      </c>
    </row>
    <row r="83" spans="1:1" x14ac:dyDescent="0.25">
      <c r="A83" t="s">
        <v>21</v>
      </c>
    </row>
    <row r="84" spans="1:1" x14ac:dyDescent="0.25">
      <c r="A84" s="170">
        <v>0.9375</v>
      </c>
    </row>
    <row r="85" spans="1:1" x14ac:dyDescent="0.25">
      <c r="A85" t="s">
        <v>46</v>
      </c>
    </row>
    <row r="86" spans="1:1" x14ac:dyDescent="0.25">
      <c r="A86" t="s">
        <v>47</v>
      </c>
    </row>
    <row r="87" spans="1:1" x14ac:dyDescent="0.25">
      <c r="A87" t="s">
        <v>21</v>
      </c>
    </row>
    <row r="88" spans="1:1" x14ac:dyDescent="0.25">
      <c r="A88" t="s">
        <v>21</v>
      </c>
    </row>
    <row r="89" spans="1:1" x14ac:dyDescent="0.25">
      <c r="A89" t="s">
        <v>21</v>
      </c>
    </row>
    <row r="90" spans="1:1" x14ac:dyDescent="0.25">
      <c r="A90" t="s">
        <v>21</v>
      </c>
    </row>
    <row r="91" spans="1:1" x14ac:dyDescent="0.25">
      <c r="A91" t="s">
        <v>48</v>
      </c>
    </row>
    <row r="92" spans="1:1" x14ac:dyDescent="0.25">
      <c r="A92">
        <v>1</v>
      </c>
    </row>
    <row r="93" spans="1:1" x14ac:dyDescent="0.25">
      <c r="A93" t="s">
        <v>18</v>
      </c>
    </row>
    <row r="94" spans="1:1" x14ac:dyDescent="0.25">
      <c r="A94">
        <v>2</v>
      </c>
    </row>
    <row r="95" spans="1:1" x14ac:dyDescent="0.25">
      <c r="A95" s="170">
        <v>0.66666666666666663</v>
      </c>
    </row>
    <row r="96" spans="1:1" x14ac:dyDescent="0.25">
      <c r="A96" t="s">
        <v>49</v>
      </c>
    </row>
    <row r="97" spans="1:1" x14ac:dyDescent="0.25">
      <c r="A97" t="s">
        <v>50</v>
      </c>
    </row>
    <row r="98" spans="1:1" x14ac:dyDescent="0.25">
      <c r="A98" t="s">
        <v>21</v>
      </c>
    </row>
    <row r="99" spans="1:1" x14ac:dyDescent="0.25">
      <c r="A99" t="s">
        <v>21</v>
      </c>
    </row>
    <row r="100" spans="1:1" x14ac:dyDescent="0.25">
      <c r="A100" t="s">
        <v>21</v>
      </c>
    </row>
    <row r="101" spans="1:1" x14ac:dyDescent="0.25">
      <c r="A101" t="s">
        <v>21</v>
      </c>
    </row>
    <row r="102" spans="1:1" x14ac:dyDescent="0.25">
      <c r="A102" s="170">
        <v>0.66666666666666663</v>
      </c>
    </row>
    <row r="103" spans="1:1" x14ac:dyDescent="0.25">
      <c r="A103" t="s">
        <v>51</v>
      </c>
    </row>
    <row r="104" spans="1:1" x14ac:dyDescent="0.25">
      <c r="A104" t="s">
        <v>52</v>
      </c>
    </row>
    <row r="105" spans="1:1" x14ac:dyDescent="0.25">
      <c r="A105" t="s">
        <v>21</v>
      </c>
    </row>
    <row r="106" spans="1:1" x14ac:dyDescent="0.25">
      <c r="A106" t="s">
        <v>21</v>
      </c>
    </row>
    <row r="107" spans="1:1" x14ac:dyDescent="0.25">
      <c r="A107" t="s">
        <v>21</v>
      </c>
    </row>
    <row r="108" spans="1:1" x14ac:dyDescent="0.25">
      <c r="A108" t="s">
        <v>21</v>
      </c>
    </row>
    <row r="109" spans="1:1" x14ac:dyDescent="0.25">
      <c r="A109" s="170">
        <v>0.66666666666666663</v>
      </c>
    </row>
    <row r="110" spans="1:1" x14ac:dyDescent="0.25">
      <c r="A110" t="s">
        <v>53</v>
      </c>
    </row>
    <row r="111" spans="1:1" x14ac:dyDescent="0.25">
      <c r="A111" t="s">
        <v>54</v>
      </c>
    </row>
    <row r="112" spans="1:1" x14ac:dyDescent="0.25">
      <c r="A112" t="s">
        <v>21</v>
      </c>
    </row>
    <row r="113" spans="1:1" x14ac:dyDescent="0.25">
      <c r="A113" t="s">
        <v>21</v>
      </c>
    </row>
    <row r="114" spans="1:1" x14ac:dyDescent="0.25">
      <c r="A114" t="s">
        <v>21</v>
      </c>
    </row>
    <row r="115" spans="1:1" x14ac:dyDescent="0.25">
      <c r="A115" t="s">
        <v>21</v>
      </c>
    </row>
    <row r="116" spans="1:1" x14ac:dyDescent="0.25">
      <c r="A116" t="s">
        <v>55</v>
      </c>
    </row>
    <row r="117" spans="1:1" x14ac:dyDescent="0.25">
      <c r="A117">
        <v>1</v>
      </c>
    </row>
    <row r="118" spans="1:1" x14ac:dyDescent="0.25">
      <c r="A118" t="s">
        <v>18</v>
      </c>
    </row>
    <row r="119" spans="1:1" x14ac:dyDescent="0.25">
      <c r="A119">
        <v>2</v>
      </c>
    </row>
    <row r="120" spans="1:1" x14ac:dyDescent="0.25">
      <c r="A120" s="170">
        <v>1.0416666666666666E-2</v>
      </c>
    </row>
    <row r="121" spans="1:1" x14ac:dyDescent="0.25">
      <c r="A121" t="s">
        <v>56</v>
      </c>
    </row>
    <row r="122" spans="1:1" x14ac:dyDescent="0.25">
      <c r="A122" t="s">
        <v>57</v>
      </c>
    </row>
    <row r="123" spans="1:1" x14ac:dyDescent="0.25">
      <c r="A123" t="s">
        <v>21</v>
      </c>
    </row>
    <row r="124" spans="1:1" x14ac:dyDescent="0.25">
      <c r="A124" t="s">
        <v>21</v>
      </c>
    </row>
    <row r="125" spans="1:1" x14ac:dyDescent="0.25">
      <c r="A125" t="s">
        <v>21</v>
      </c>
    </row>
    <row r="126" spans="1:1" x14ac:dyDescent="0.25">
      <c r="A126" t="s">
        <v>21</v>
      </c>
    </row>
    <row r="127" spans="1:1" x14ac:dyDescent="0.25">
      <c r="A127" s="170">
        <v>1.0416666666666666E-2</v>
      </c>
    </row>
    <row r="128" spans="1:1" x14ac:dyDescent="0.25">
      <c r="A128" t="s">
        <v>58</v>
      </c>
    </row>
    <row r="129" spans="1:1" x14ac:dyDescent="0.25">
      <c r="A129" t="s">
        <v>59</v>
      </c>
    </row>
    <row r="130" spans="1:1" x14ac:dyDescent="0.25">
      <c r="A130" t="s">
        <v>21</v>
      </c>
    </row>
    <row r="131" spans="1:1" x14ac:dyDescent="0.25">
      <c r="A131" t="s">
        <v>21</v>
      </c>
    </row>
    <row r="132" spans="1:1" x14ac:dyDescent="0.25">
      <c r="A132" t="s">
        <v>21</v>
      </c>
    </row>
    <row r="133" spans="1:1" x14ac:dyDescent="0.25">
      <c r="A133" t="s">
        <v>21</v>
      </c>
    </row>
    <row r="134" spans="1:1" x14ac:dyDescent="0.25">
      <c r="A134" s="170">
        <v>1.0416666666666666E-2</v>
      </c>
    </row>
    <row r="135" spans="1:1" x14ac:dyDescent="0.25">
      <c r="A135" t="s">
        <v>60</v>
      </c>
    </row>
    <row r="136" spans="1:1" x14ac:dyDescent="0.25">
      <c r="A136" t="s">
        <v>61</v>
      </c>
    </row>
    <row r="137" spans="1:1" x14ac:dyDescent="0.25">
      <c r="A137" t="s">
        <v>21</v>
      </c>
    </row>
    <row r="138" spans="1:1" x14ac:dyDescent="0.25">
      <c r="A138" t="s">
        <v>21</v>
      </c>
    </row>
    <row r="139" spans="1:1" x14ac:dyDescent="0.25">
      <c r="A139" t="s">
        <v>21</v>
      </c>
    </row>
    <row r="140" spans="1:1" x14ac:dyDescent="0.25">
      <c r="A140" t="s">
        <v>21</v>
      </c>
    </row>
    <row r="141" spans="1:1" x14ac:dyDescent="0.25">
      <c r="A141" s="170">
        <v>0.625</v>
      </c>
    </row>
    <row r="142" spans="1:1" x14ac:dyDescent="0.25">
      <c r="A142" t="s">
        <v>62</v>
      </c>
    </row>
    <row r="143" spans="1:1" x14ac:dyDescent="0.25">
      <c r="A143" t="s">
        <v>63</v>
      </c>
    </row>
    <row r="144" spans="1:1" x14ac:dyDescent="0.25">
      <c r="A144" t="s">
        <v>21</v>
      </c>
    </row>
    <row r="145" spans="1:1" x14ac:dyDescent="0.25">
      <c r="A145" t="s">
        <v>21</v>
      </c>
    </row>
    <row r="146" spans="1:1" x14ac:dyDescent="0.25">
      <c r="A146" t="s">
        <v>21</v>
      </c>
    </row>
    <row r="147" spans="1:1" x14ac:dyDescent="0.25">
      <c r="A147" t="s">
        <v>21</v>
      </c>
    </row>
    <row r="148" spans="1:1" x14ac:dyDescent="0.25">
      <c r="A148" s="170">
        <v>0.625</v>
      </c>
    </row>
    <row r="149" spans="1:1" x14ac:dyDescent="0.25">
      <c r="A149" t="s">
        <v>64</v>
      </c>
    </row>
    <row r="150" spans="1:1" x14ac:dyDescent="0.25">
      <c r="A150" t="s">
        <v>65</v>
      </c>
    </row>
    <row r="151" spans="1:1" x14ac:dyDescent="0.25">
      <c r="A151" t="s">
        <v>21</v>
      </c>
    </row>
    <row r="152" spans="1:1" x14ac:dyDescent="0.25">
      <c r="A152" t="s">
        <v>21</v>
      </c>
    </row>
    <row r="153" spans="1:1" x14ac:dyDescent="0.25">
      <c r="A153" t="s">
        <v>21</v>
      </c>
    </row>
    <row r="154" spans="1:1" x14ac:dyDescent="0.25">
      <c r="A154" t="s">
        <v>21</v>
      </c>
    </row>
    <row r="155" spans="1:1" x14ac:dyDescent="0.25">
      <c r="A155" s="170">
        <v>0.75</v>
      </c>
    </row>
    <row r="156" spans="1:1" x14ac:dyDescent="0.25">
      <c r="A156" t="s">
        <v>66</v>
      </c>
    </row>
    <row r="157" spans="1:1" x14ac:dyDescent="0.25">
      <c r="A157" t="s">
        <v>67</v>
      </c>
    </row>
    <row r="158" spans="1:1" x14ac:dyDescent="0.25">
      <c r="A158" t="s">
        <v>21</v>
      </c>
    </row>
    <row r="159" spans="1:1" x14ac:dyDescent="0.25">
      <c r="A159" t="s">
        <v>21</v>
      </c>
    </row>
    <row r="160" spans="1:1" x14ac:dyDescent="0.25">
      <c r="A160" t="s">
        <v>21</v>
      </c>
    </row>
    <row r="161" spans="1:1" x14ac:dyDescent="0.25">
      <c r="A161" t="s">
        <v>21</v>
      </c>
    </row>
    <row r="162" spans="1:1" x14ac:dyDescent="0.25">
      <c r="A162" t="s">
        <v>68</v>
      </c>
    </row>
    <row r="163" spans="1:1" x14ac:dyDescent="0.25">
      <c r="A163" t="s">
        <v>69</v>
      </c>
    </row>
    <row r="164" spans="1:1" x14ac:dyDescent="0.25">
      <c r="A164" t="s">
        <v>70</v>
      </c>
    </row>
    <row r="165" spans="1:1" x14ac:dyDescent="0.25">
      <c r="A165" t="s">
        <v>21</v>
      </c>
    </row>
    <row r="166" spans="1:1" x14ac:dyDescent="0.25">
      <c r="A166" t="s">
        <v>21</v>
      </c>
    </row>
    <row r="167" spans="1:1" x14ac:dyDescent="0.25">
      <c r="A167" t="s">
        <v>21</v>
      </c>
    </row>
    <row r="168" spans="1:1" x14ac:dyDescent="0.25">
      <c r="A168" t="s">
        <v>21</v>
      </c>
    </row>
    <row r="169" spans="1:1" x14ac:dyDescent="0.25">
      <c r="A169" s="170">
        <v>0.88541666666666663</v>
      </c>
    </row>
    <row r="170" spans="1:1" x14ac:dyDescent="0.25">
      <c r="A170" t="s">
        <v>71</v>
      </c>
    </row>
    <row r="171" spans="1:1" x14ac:dyDescent="0.25">
      <c r="A171" t="s">
        <v>72</v>
      </c>
    </row>
    <row r="172" spans="1:1" x14ac:dyDescent="0.25">
      <c r="A172" t="s">
        <v>21</v>
      </c>
    </row>
    <row r="173" spans="1:1" x14ac:dyDescent="0.25">
      <c r="A173" t="s">
        <v>21</v>
      </c>
    </row>
    <row r="174" spans="1:1" x14ac:dyDescent="0.25">
      <c r="A174" t="s">
        <v>21</v>
      </c>
    </row>
    <row r="175" spans="1:1" x14ac:dyDescent="0.25">
      <c r="A175" t="s">
        <v>21</v>
      </c>
    </row>
    <row r="176" spans="1:1" x14ac:dyDescent="0.25">
      <c r="A176" s="170">
        <v>0.88541666666666663</v>
      </c>
    </row>
    <row r="177" spans="1:1" x14ac:dyDescent="0.25">
      <c r="A177" t="s">
        <v>73</v>
      </c>
    </row>
    <row r="178" spans="1:1" x14ac:dyDescent="0.25">
      <c r="A178" t="s">
        <v>74</v>
      </c>
    </row>
    <row r="179" spans="1:1" x14ac:dyDescent="0.25">
      <c r="A179" t="s">
        <v>21</v>
      </c>
    </row>
    <row r="180" spans="1:1" x14ac:dyDescent="0.25">
      <c r="A180" t="s">
        <v>21</v>
      </c>
    </row>
    <row r="181" spans="1:1" x14ac:dyDescent="0.25">
      <c r="A181" t="s">
        <v>21</v>
      </c>
    </row>
    <row r="182" spans="1:1" x14ac:dyDescent="0.25">
      <c r="A182" t="s">
        <v>21</v>
      </c>
    </row>
    <row r="183" spans="1:1" x14ac:dyDescent="0.25">
      <c r="A183" t="s">
        <v>75</v>
      </c>
    </row>
    <row r="184" spans="1:1" x14ac:dyDescent="0.25">
      <c r="A184">
        <v>1</v>
      </c>
    </row>
    <row r="185" spans="1:1" x14ac:dyDescent="0.25">
      <c r="A185" t="s">
        <v>18</v>
      </c>
    </row>
    <row r="186" spans="1:1" x14ac:dyDescent="0.25">
      <c r="A186">
        <v>2</v>
      </c>
    </row>
    <row r="187" spans="1:1" x14ac:dyDescent="0.25">
      <c r="A187" s="170">
        <v>0.45833333333333331</v>
      </c>
    </row>
    <row r="188" spans="1:1" x14ac:dyDescent="0.25">
      <c r="A188" t="s">
        <v>76</v>
      </c>
    </row>
    <row r="189" spans="1:1" x14ac:dyDescent="0.25">
      <c r="A189" t="s">
        <v>77</v>
      </c>
    </row>
    <row r="190" spans="1:1" x14ac:dyDescent="0.25">
      <c r="A190" t="s">
        <v>21</v>
      </c>
    </row>
    <row r="191" spans="1:1" x14ac:dyDescent="0.25">
      <c r="A191" s="172">
        <v>44743</v>
      </c>
    </row>
    <row r="192" spans="1:1" x14ac:dyDescent="0.25">
      <c r="A192" s="171">
        <v>18507</v>
      </c>
    </row>
    <row r="193" spans="1:1" x14ac:dyDescent="0.25">
      <c r="A193" t="s">
        <v>78</v>
      </c>
    </row>
    <row r="194" spans="1:1" x14ac:dyDescent="0.25">
      <c r="A194" s="170">
        <v>0.72916666666666663</v>
      </c>
    </row>
    <row r="195" spans="1:1" x14ac:dyDescent="0.25">
      <c r="A195" t="s">
        <v>79</v>
      </c>
    </row>
    <row r="196" spans="1:1" x14ac:dyDescent="0.25">
      <c r="A196" t="s">
        <v>80</v>
      </c>
    </row>
    <row r="197" spans="1:1" x14ac:dyDescent="0.25">
      <c r="A197" t="s">
        <v>21</v>
      </c>
    </row>
    <row r="198" spans="1:1" x14ac:dyDescent="0.25">
      <c r="A198" t="s">
        <v>21</v>
      </c>
    </row>
    <row r="199" spans="1:1" x14ac:dyDescent="0.25">
      <c r="A199" t="s">
        <v>21</v>
      </c>
    </row>
    <row r="200" spans="1:1" x14ac:dyDescent="0.25">
      <c r="A200" t="s">
        <v>21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>
      <selection activeCell="G18" sqref="G18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F18" sqref="F1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CALCULATOR</vt:lpstr>
      <vt:lpstr>Sheet1</vt:lpstr>
      <vt:lpstr>3</vt:lpstr>
      <vt:lpstr>1</vt:lpstr>
      <vt:lpstr>2</vt:lpstr>
      <vt:lpstr>09,06,2021</vt:lpstr>
      <vt:lpstr>копия из soccerstand </vt:lpstr>
      <vt:lpstr>список</vt:lpstr>
      <vt:lpstr>Выбор</vt:lpstr>
      <vt:lpstr>100-120 րոպեն մեկ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hhako</dc:creator>
  <cp:lastModifiedBy>Arman Sedrakyan</cp:lastModifiedBy>
  <dcterms:created xsi:type="dcterms:W3CDTF">2006-09-16T00:00:00Z</dcterms:created>
  <dcterms:modified xsi:type="dcterms:W3CDTF">2022-04-27T17:30:00Z</dcterms:modified>
</cp:coreProperties>
</file>